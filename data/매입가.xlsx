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8_{2529244E-E383-4B21-BF7E-960529313F7A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C4" i="1" l="1"/>
  <c r="C5" i="1"/>
  <c r="C6" i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B7" i="1" s="1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G14" i="2"/>
  <c r="J14" i="2"/>
  <c r="G15" i="2"/>
  <c r="J15" i="2"/>
  <c r="G16" i="2"/>
  <c r="J16" i="2"/>
  <c r="G17" i="2"/>
  <c r="J17" i="2"/>
  <c r="G18" i="2"/>
  <c r="J18" i="2"/>
  <c r="G19" i="2"/>
  <c r="J19" i="2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9" i="2"/>
  <c r="J10" i="2"/>
  <c r="J11" i="2"/>
  <c r="J12" i="2"/>
  <c r="J2" i="2"/>
  <c r="J2" i="1" s="1"/>
  <c r="K3" i="1" l="1"/>
  <c r="K2" i="1"/>
  <c r="A3" i="1" l="1"/>
  <c r="B3" i="1"/>
  <c r="G7" i="2"/>
  <c r="A7" i="1" s="1"/>
  <c r="G8" i="2"/>
  <c r="G9" i="2"/>
  <c r="G10" i="2"/>
  <c r="G11" i="2"/>
  <c r="G12" i="2"/>
  <c r="B2" i="1"/>
  <c r="A2" i="1"/>
</calcChain>
</file>

<file path=xl/sharedStrings.xml><?xml version="1.0" encoding="utf-8"?>
<sst xmlns="http://schemas.openxmlformats.org/spreadsheetml/2006/main" count="1194" uniqueCount="1179">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</sst>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workbookViewId="0">
      <selection activeCell="A19" sqref="A19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보아르투웨이텀블러-아이보리</v>
      </c>
      <c r="B2" s="3" t="str">
        <f>'sku 정보'!$H2</f>
        <v>E0446</v>
      </c>
      <c r="C2">
        <f>'sku 정보'!$I2</f>
        <v>25</v>
      </c>
      <c r="D2" t="s">
        <v>6</v>
      </c>
      <c r="E2" t="s">
        <v>7</v>
      </c>
      <c r="F2">
        <v>37876</v>
      </c>
      <c r="G2" t="s">
        <v>10</v>
      </c>
      <c r="J2">
        <f>'sku 정보'!$J2</f>
        <v>14129</v>
      </c>
      <c r="K2">
        <f>$J2*$C2</f>
        <v>353225</v>
      </c>
    </row>
    <row r="3" spans="1:11" x14ac:dyDescent="0.3">
      <c r="A3" t="str">
        <f>'sku 정보'!$G3</f>
        <v>보아르퓨어스텐</v>
      </c>
      <c r="B3" s="3" t="str">
        <f>'sku 정보'!$H3</f>
        <v>E0387</v>
      </c>
      <c r="C3">
        <f>'sku 정보'!$I3</f>
        <v>4</v>
      </c>
      <c r="D3" t="s">
        <v>6</v>
      </c>
      <c r="E3" t="s">
        <v>7</v>
      </c>
      <c r="F3">
        <v>37876</v>
      </c>
      <c r="G3" t="s">
        <v>10</v>
      </c>
      <c r="J3">
        <f>'sku 정보'!$J3</f>
        <v>22511</v>
      </c>
      <c r="K3">
        <f t="shared" ref="K3:K7" si="0">$J3*$C3</f>
        <v>90044</v>
      </c>
    </row>
    <row r="4" spans="1:11" x14ac:dyDescent="0.3">
      <c r="A4" t="str">
        <f>'sku 정보'!$G4</f>
        <v>보아르투웨이폴든텀블러-민트</v>
      </c>
      <c r="B4" s="3" t="str">
        <f>'sku 정보'!$H4</f>
        <v>A02701</v>
      </c>
      <c r="C4">
        <f>'sku 정보'!$I4</f>
        <v>26</v>
      </c>
      <c r="D4" t="s">
        <v>6</v>
      </c>
      <c r="E4" t="s">
        <v>7</v>
      </c>
      <c r="F4">
        <v>37876</v>
      </c>
      <c r="G4" t="s">
        <v>10</v>
      </c>
      <c r="J4">
        <f>'sku 정보'!$J4</f>
        <v>23359</v>
      </c>
      <c r="K4">
        <f t="shared" si="0"/>
        <v>607334</v>
      </c>
    </row>
    <row r="5" spans="1:11" x14ac:dyDescent="0.3">
      <c r="A5" t="str">
        <f>'sku 정보'!$G5</f>
        <v>보아르투웨이폴든텀블러-핑크</v>
      </c>
      <c r="B5" s="3" t="str">
        <f>'sku 정보'!$H5</f>
        <v>A02700</v>
      </c>
      <c r="C5">
        <f>'sku 정보'!$I5</f>
        <v>18</v>
      </c>
      <c r="D5" t="s">
        <v>6</v>
      </c>
      <c r="E5" t="s">
        <v>7</v>
      </c>
      <c r="F5">
        <v>37876</v>
      </c>
      <c r="G5" t="s">
        <v>10</v>
      </c>
      <c r="J5">
        <f>'sku 정보'!$J5</f>
        <v>23359</v>
      </c>
      <c r="K5">
        <f t="shared" si="0"/>
        <v>420462</v>
      </c>
    </row>
    <row r="6" spans="1:11" x14ac:dyDescent="0.3">
      <c r="A6" t="str">
        <f>'sku 정보'!$G6</f>
        <v>보아르아가맘마쪽쪽이살균기</v>
      </c>
      <c r="B6" s="3" t="str">
        <f>'sku 정보'!$H6</f>
        <v>S0262</v>
      </c>
      <c r="C6">
        <f>'sku 정보'!$I6</f>
        <v>144</v>
      </c>
      <c r="D6" t="s">
        <v>6</v>
      </c>
      <c r="E6" t="s">
        <v>7</v>
      </c>
      <c r="F6">
        <v>37876</v>
      </c>
      <c r="G6" t="s">
        <v>10</v>
      </c>
      <c r="J6">
        <f>'sku 정보'!$J6</f>
        <v>23940</v>
      </c>
      <c r="K6">
        <f t="shared" si="0"/>
        <v>3447360</v>
      </c>
    </row>
    <row r="7" spans="1:11" x14ac:dyDescent="0.3">
      <c r="A7" t="str">
        <f>'sku 정보'!$G7</f>
        <v>보아르투웨이텀블러-레인보우</v>
      </c>
      <c r="B7" s="3" t="str">
        <f>'sku 정보'!$H7</f>
        <v>E0447</v>
      </c>
      <c r="C7">
        <f>'sku 정보'!$I7</f>
        <v>100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14129</v>
      </c>
      <c r="K7">
        <f t="shared" si="0"/>
        <v>1412900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4"/>
  <sheetViews>
    <sheetView tabSelected="1" topLeftCell="A541" workbookViewId="0">
      <selection activeCell="B566" sqref="B566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53583387</v>
      </c>
      <c r="G2" s="7" t="str">
        <f t="shared" ref="G2:G65" si="0">IFERROR(VLOOKUP($F2,$A:$B,2,0),0)</f>
        <v>보아르투웨이텀블러-아이보리</v>
      </c>
      <c r="H2" s="7" t="str">
        <f t="shared" ref="H2:H65" si="1">IFERROR(VLOOKUP($F2,$A:$D,3,0),0)</f>
        <v>E0446</v>
      </c>
      <c r="I2" s="7">
        <v>25</v>
      </c>
      <c r="J2" s="7">
        <f t="shared" ref="J2:J65" si="2">IFERROR(VLOOKUP($F2,$A:$D,4,0),0)</f>
        <v>14129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39384055</v>
      </c>
      <c r="G3" s="7" t="str">
        <f t="shared" si="0"/>
        <v>보아르퓨어스텐</v>
      </c>
      <c r="H3" s="7" t="str">
        <f t="shared" si="1"/>
        <v>E0387</v>
      </c>
      <c r="I3" s="7">
        <v>4</v>
      </c>
      <c r="J3" s="7">
        <f t="shared" si="2"/>
        <v>22511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73316684</v>
      </c>
      <c r="G4" s="7" t="str">
        <f t="shared" si="0"/>
        <v>보아르투웨이폴든텀블러-민트</v>
      </c>
      <c r="H4" s="7" t="str">
        <f t="shared" si="1"/>
        <v>A02701</v>
      </c>
      <c r="I4" s="7">
        <v>26</v>
      </c>
      <c r="J4" s="7">
        <f t="shared" si="2"/>
        <v>23359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73316683</v>
      </c>
      <c r="G5" s="7" t="str">
        <f t="shared" si="0"/>
        <v>보아르투웨이폴든텀블러-핑크</v>
      </c>
      <c r="H5" s="7" t="str">
        <f t="shared" si="1"/>
        <v>A02700</v>
      </c>
      <c r="I5" s="7">
        <v>18</v>
      </c>
      <c r="J5" s="7">
        <f t="shared" si="2"/>
        <v>23359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37161537</v>
      </c>
      <c r="G6" s="7" t="str">
        <f t="shared" si="0"/>
        <v>보아르아가맘마쪽쪽이살균기</v>
      </c>
      <c r="H6" s="7" t="str">
        <f t="shared" si="1"/>
        <v>S0262</v>
      </c>
      <c r="I6" s="7">
        <v>144</v>
      </c>
      <c r="J6" s="7">
        <f t="shared" si="2"/>
        <v>23940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>
        <v>53564659</v>
      </c>
      <c r="G7" s="7" t="str">
        <f t="shared" si="0"/>
        <v>보아르투웨이텀블러-레인보우</v>
      </c>
      <c r="H7" s="7" t="str">
        <f t="shared" si="1"/>
        <v>E0447</v>
      </c>
      <c r="I7" s="7">
        <v>100</v>
      </c>
      <c r="J7" s="7">
        <f t="shared" si="2"/>
        <v>14129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23316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0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23316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0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22043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0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22043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0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17112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0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62980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1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34362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0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105190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1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105190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1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172190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1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78390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1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246560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1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66330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1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186930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23383</v>
      </c>
      <c r="L468">
        <v>23383</v>
      </c>
      <c r="M468" t="b">
        <f t="shared" si="28"/>
        <v>1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23383</v>
      </c>
      <c r="L469">
        <v>23383</v>
      </c>
      <c r="M469" t="b">
        <f t="shared" si="28"/>
        <v>1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23383</v>
      </c>
      <c r="L470">
        <v>23383</v>
      </c>
      <c r="M470" t="b">
        <f t="shared" si="28"/>
        <v>1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19966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  <row r="574" spans="1:4" x14ac:dyDescent="0.3">
      <c r="A574" s="14">
        <v>75741354</v>
      </c>
      <c r="B574" s="14" t="s">
        <v>1177</v>
      </c>
      <c r="C574" s="14" t="s">
        <v>1178</v>
      </c>
      <c r="D574" s="37">
        <v>43416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2026-07-02T05:29:06Z</dcterms:modified>
</cp:coreProperties>
</file>