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OA\Desktop\"/>
    </mc:Choice>
  </mc:AlternateContent>
  <xr:revisionPtr revIDLastSave="0" documentId="8_{A772DCDE-2BD3-4564-AA2B-E868B9A5A9FC}" xr6:coauthVersionLast="36" xr6:coauthVersionMax="36" xr10:uidLastSave="{00000000-0000-0000-0000-000000000000}"/>
  <bookViews>
    <workbookView xWindow="0" yWindow="0" windowWidth="76800" windowHeight="17655" xr2:uid="{00000000-000D-0000-FFFF-FFFF00000000}"/>
  </bookViews>
  <sheets>
    <sheet name="26년 타임특가" sheetId="18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8" l="1"/>
  <c r="J7" i="18"/>
  <c r="J82" i="18" l="1"/>
  <c r="J76" i="18"/>
  <c r="J72" i="18"/>
  <c r="J73" i="18"/>
  <c r="J68" i="18"/>
  <c r="J69" i="18"/>
  <c r="J64" i="18"/>
  <c r="J60" i="18"/>
  <c r="J61" i="18"/>
  <c r="J58" i="18"/>
  <c r="J48" i="18"/>
  <c r="J49" i="18"/>
  <c r="J8" i="18"/>
  <c r="J9" i="18"/>
  <c r="J10" i="18"/>
  <c r="J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0" i="18"/>
  <c r="J31" i="18"/>
  <c r="J32" i="18"/>
  <c r="J33" i="18"/>
  <c r="J34" i="18"/>
  <c r="J35" i="18"/>
  <c r="J36" i="18"/>
  <c r="J37" i="18"/>
  <c r="J38" i="18"/>
  <c r="J39" i="18"/>
  <c r="J40" i="18"/>
  <c r="J41" i="18"/>
  <c r="J42" i="18"/>
  <c r="J43" i="18"/>
  <c r="J44" i="18"/>
  <c r="J45" i="18"/>
  <c r="J46" i="18"/>
  <c r="J47" i="18"/>
  <c r="J50" i="18"/>
  <c r="J51" i="18"/>
  <c r="J52" i="18"/>
  <c r="J53" i="18"/>
  <c r="J54" i="18"/>
  <c r="J55" i="18"/>
  <c r="J56" i="18"/>
  <c r="J57" i="18"/>
  <c r="J59" i="18"/>
  <c r="J62" i="18"/>
  <c r="J63" i="18"/>
  <c r="J65" i="18"/>
  <c r="J66" i="18"/>
  <c r="J67" i="18"/>
  <c r="J70" i="18"/>
  <c r="J71" i="18"/>
  <c r="J74" i="18"/>
  <c r="J75" i="18"/>
  <c r="J77" i="18"/>
  <c r="J78" i="18"/>
  <c r="J79" i="18"/>
  <c r="J80" i="18"/>
  <c r="J81" i="18"/>
  <c r="J83" i="18"/>
  <c r="J84" i="18"/>
  <c r="J85" i="18"/>
  <c r="J86" i="18"/>
  <c r="J87" i="18"/>
  <c r="J88" i="18"/>
  <c r="J89" i="18"/>
  <c r="J90" i="18"/>
  <c r="J91" i="18"/>
  <c r="J92" i="18"/>
  <c r="J93" i="18"/>
  <c r="J94" i="18"/>
  <c r="J95" i="18"/>
  <c r="J96" i="18"/>
  <c r="J97" i="18"/>
  <c r="J98" i="18"/>
  <c r="J99" i="18"/>
  <c r="J100" i="18"/>
  <c r="J101" i="18"/>
  <c r="J102" i="18"/>
  <c r="J103" i="18"/>
  <c r="J5" i="18"/>
</calcChain>
</file>

<file path=xl/sharedStrings.xml><?xml version="1.0" encoding="utf-8"?>
<sst xmlns="http://schemas.openxmlformats.org/spreadsheetml/2006/main" count="493" uniqueCount="232">
  <si>
    <t>오아듀얼미스트무선가습기</t>
  </si>
  <si>
    <t>오아무드가습기1000</t>
  </si>
  <si>
    <t>오아모노에어써큘레이터</t>
  </si>
  <si>
    <t>상시가</t>
    <phoneticPr fontId="2" type="noConversion"/>
  </si>
  <si>
    <t>오아데이</t>
    <phoneticPr fontId="2" type="noConversion"/>
  </si>
  <si>
    <t>제품명</t>
    <phoneticPr fontId="2" type="noConversion"/>
  </si>
  <si>
    <t>수량</t>
    <phoneticPr fontId="2" type="noConversion"/>
  </si>
  <si>
    <t>판매가</t>
    <phoneticPr fontId="2" type="noConversion"/>
  </si>
  <si>
    <t>오아클린이워터B</t>
  </si>
  <si>
    <t>보아르아가맘마쪽쪽이살균기</t>
  </si>
  <si>
    <t>현재고</t>
    <phoneticPr fontId="2" type="noConversion"/>
  </si>
  <si>
    <t>오아데이가</t>
    <phoneticPr fontId="2" type="noConversion"/>
  </si>
  <si>
    <t>오아클린이소프트-화이트</t>
  </si>
  <si>
    <t>오아클린이소프트-블랙</t>
  </si>
  <si>
    <t>오아스퀘어미니선풍기-화이트</t>
  </si>
  <si>
    <t>오아스퀘어미니선풍기-베이지</t>
  </si>
  <si>
    <t>오아플렌티플렛4L</t>
  </si>
  <si>
    <t>오아플렌티스팀3L</t>
  </si>
  <si>
    <t>오아스퀘어미니발난로-화이트</t>
  </si>
  <si>
    <t>오아스퀘어미니발난로-베이지</t>
  </si>
  <si>
    <t>오아무선에어건S-화이트</t>
  </si>
  <si>
    <t>보아르컴포트클링</t>
  </si>
  <si>
    <t>보아르슈즈쏙-화이트</t>
  </si>
  <si>
    <t>오아무선넥앤숄더-베이지</t>
  </si>
  <si>
    <t>오아버블풋접이식족욕기</t>
  </si>
  <si>
    <t>오아히트스팟W</t>
  </si>
  <si>
    <t>오아모던LED시계R</t>
  </si>
  <si>
    <t>네이버브랜드데이 (메인)</t>
    <phoneticPr fontId="2" type="noConversion"/>
  </si>
  <si>
    <t>1차
08~10</t>
    <phoneticPr fontId="2" type="noConversion"/>
  </si>
  <si>
    <t>2차
10~12</t>
    <phoneticPr fontId="2" type="noConversion"/>
  </si>
  <si>
    <t>보아르모아스마트제습기13L</t>
  </si>
  <si>
    <t>오아에어리소닉드라이기-핑크</t>
  </si>
  <si>
    <t>오아턴에어pro탁상팬</t>
    <phoneticPr fontId="2" type="noConversion"/>
  </si>
  <si>
    <t>보아르엘레어탁상형선풍기-화이트</t>
  </si>
  <si>
    <t>보아르미스팀클링-화이트</t>
  </si>
  <si>
    <t>보아르파워스핀-화이트</t>
  </si>
  <si>
    <t>보아르컴플릿D20L쓰레기통-베이지</t>
  </si>
  <si>
    <t>보아르모아파워제습기6L</t>
  </si>
  <si>
    <t>보아르모아파워제습기16L</t>
  </si>
  <si>
    <t>보아르마일드에어-아이보리</t>
  </si>
  <si>
    <t>오아아이스볼트맥스-베이지</t>
    <phoneticPr fontId="2" type="noConversion"/>
  </si>
  <si>
    <t>보아르</t>
    <phoneticPr fontId="2" type="noConversion"/>
  </si>
  <si>
    <t>26년 오아데이</t>
    <phoneticPr fontId="2" type="noConversion"/>
  </si>
  <si>
    <t>오아클린이워터B-UV-포그밀크</t>
    <phoneticPr fontId="2" type="noConversion"/>
  </si>
  <si>
    <t>오아아이스볼트미스트-포그밀크</t>
    <phoneticPr fontId="2" type="noConversion"/>
  </si>
  <si>
    <t>오아메가에어라이트-샌드크림</t>
    <phoneticPr fontId="2" type="noConversion"/>
  </si>
  <si>
    <t>오아에어리소닉드라이기-베이지</t>
    <phoneticPr fontId="2" type="noConversion"/>
  </si>
  <si>
    <t>오아클린이스윙P-포그밀크</t>
    <phoneticPr fontId="2" type="noConversion"/>
  </si>
  <si>
    <t>3차
12~14</t>
    <phoneticPr fontId="2" type="noConversion"/>
  </si>
  <si>
    <t>4차
14~16</t>
    <phoneticPr fontId="2" type="noConversion"/>
  </si>
  <si>
    <t>5차
16~18</t>
    <phoneticPr fontId="2" type="noConversion"/>
  </si>
  <si>
    <t>6차
18~20</t>
    <phoneticPr fontId="2" type="noConversion"/>
  </si>
  <si>
    <t>7차
20~22</t>
    <phoneticPr fontId="2" type="noConversion"/>
  </si>
  <si>
    <t>8차
22~00</t>
    <phoneticPr fontId="2" type="noConversion"/>
  </si>
  <si>
    <t xml:space="preserve">오아/보아르
BEST 아이템 </t>
    <phoneticPr fontId="2" type="noConversion"/>
  </si>
  <si>
    <t>여름가전</t>
    <phoneticPr fontId="2" type="noConversion"/>
  </si>
  <si>
    <t>겨울가전</t>
    <phoneticPr fontId="2" type="noConversion"/>
  </si>
  <si>
    <t>생활가전</t>
    <phoneticPr fontId="2" type="noConversion"/>
  </si>
  <si>
    <t>브랜드</t>
    <phoneticPr fontId="2" type="noConversion"/>
  </si>
  <si>
    <t>오아</t>
    <phoneticPr fontId="2" type="noConversion"/>
  </si>
  <si>
    <t>보아르</t>
    <phoneticPr fontId="2" type="noConversion"/>
  </si>
  <si>
    <t>구강&amp;육아</t>
    <phoneticPr fontId="2" type="noConversion"/>
  </si>
  <si>
    <t>보아르아가온분유포트-화이트</t>
  </si>
  <si>
    <t>보아르아가쑥쑥분유쉐이커-화이트</t>
  </si>
  <si>
    <t>보아르슈트쏙의류관리기-화이트</t>
  </si>
  <si>
    <t>보아르퓨어링공기청정선풍기-화이트</t>
  </si>
  <si>
    <t>이미용&amp;주방</t>
    <phoneticPr fontId="2" type="noConversion"/>
  </si>
  <si>
    <t>안마기&amp;청소기</t>
    <phoneticPr fontId="2" type="noConversion"/>
  </si>
  <si>
    <t>보아르에이블듀얼오븐에어프라이어23L-실버</t>
  </si>
  <si>
    <t>보아르에이블비드진공포장기-화이트</t>
  </si>
  <si>
    <t>오아듀얼미스트맥스-차콜스톤</t>
  </si>
  <si>
    <t>오아포그밍L와플-베이지</t>
  </si>
  <si>
    <t>오아</t>
  </si>
  <si>
    <t>오아워터쉴드드라이백-어비스블랙</t>
  </si>
  <si>
    <t>오아클린이스쿨-클라우디블루</t>
  </si>
  <si>
    <t>오아클린이워터스쿨-코튼핑크</t>
  </si>
  <si>
    <t>오아클린이스윙P-어비스블랙</t>
  </si>
  <si>
    <t>오아클린이포터블-화이트</t>
  </si>
  <si>
    <t>오아클린이워터B-UV-포그밀크</t>
  </si>
  <si>
    <t>등록전</t>
  </si>
  <si>
    <t>오아클린이퓨어T-포그밀크</t>
  </si>
  <si>
    <t>오아 에어쿨핸디</t>
  </si>
  <si>
    <t>오아아이스볼트폴드-포그밀크</t>
  </si>
  <si>
    <t>오아아이스넥밴드선풍기-포그밀크</t>
  </si>
  <si>
    <t>오아아이스볼트-베이지</t>
  </si>
  <si>
    <t>오아베이직판고데기-베이지</t>
  </si>
  <si>
    <t>오아오마컬봉고데기40mm-핑크</t>
  </si>
  <si>
    <t>오아소닉플로우-베이지</t>
  </si>
  <si>
    <t>오아에어리스마트-화이트</t>
  </si>
  <si>
    <t>오아에어셋2-아이보리</t>
  </si>
  <si>
    <t>오아쿨더마갈바닉-화이트</t>
  </si>
  <si>
    <t>모바일&amp;제습기</t>
    <phoneticPr fontId="2" type="noConversion"/>
  </si>
  <si>
    <t>오아퀵맥-실버</t>
  </si>
  <si>
    <t>오아퀵롤차저65W-포그밀크</t>
  </si>
  <si>
    <t>오아렛츠플레이핏-베이지</t>
  </si>
  <si>
    <t>오아무선키보드콤보-블랙</t>
  </si>
  <si>
    <t>오아퀵터보-포그밀크</t>
  </si>
  <si>
    <t>오아롤링스팟-블랙</t>
  </si>
  <si>
    <t>오아무빙볼마사지기-베이지</t>
  </si>
  <si>
    <t>보아르폴더블휴대용전기포트-화이트</t>
  </si>
  <si>
    <t>보아르이지미니쿠커-아이보리</t>
  </si>
  <si>
    <t>보아르이지텀블렌더-아이보리</t>
    <phoneticPr fontId="2" type="noConversion"/>
  </si>
  <si>
    <t>오아포그니발온열찜질기-다크그레이</t>
  </si>
  <si>
    <t>오아플로비-피치오렌지</t>
  </si>
  <si>
    <t>오아플로비-선샤인옐로우</t>
  </si>
  <si>
    <t>오아플로비-에메랄드그린</t>
  </si>
  <si>
    <t>오아플로비-버블핑크</t>
  </si>
  <si>
    <t>SKU ID</t>
    <phoneticPr fontId="2" type="noConversion"/>
  </si>
  <si>
    <t>오아크로멜무드등-실버</t>
  </si>
  <si>
    <t>오아크로멜무드등-블랙</t>
  </si>
  <si>
    <t>비가전</t>
  </si>
  <si>
    <t>비가전</t>
    <phoneticPr fontId="2" type="noConversion"/>
  </si>
  <si>
    <t>오아라운드핸디맥스-클라우디블루</t>
  </si>
  <si>
    <t>오아라운드핸디맥스-포그밀크</t>
  </si>
  <si>
    <t>오아라운드핸디맥스-코지피치</t>
  </si>
  <si>
    <t>오아에어리소닉드라이기-베이지</t>
  </si>
  <si>
    <t>오아에어리소닉드라이기-화이트</t>
  </si>
  <si>
    <t>보아르이지전기포트M1(FV)-아이보리</t>
  </si>
  <si>
    <t>보아르이지전기포트M1(FV)-그레이</t>
  </si>
  <si>
    <t>보아르엘레어pro선풍기-화이트</t>
  </si>
  <si>
    <t>오아클린이스윙P-포그밀크</t>
  </si>
  <si>
    <t>오아클린이워터B-UV-차콜스톤</t>
  </si>
  <si>
    <t>오아클린이워터B-UV-클라우디블루</t>
  </si>
  <si>
    <t>오아베이직판고데기-블루</t>
  </si>
  <si>
    <t>오아베이직판고데기-퍼플</t>
  </si>
  <si>
    <t>오아소닉플로우-핑크</t>
  </si>
  <si>
    <t>오아소닉플로우-그레이</t>
  </si>
  <si>
    <t>오아에어셋2-블루</t>
  </si>
  <si>
    <t>보아르이지업텀블렌더-아이보리</t>
  </si>
  <si>
    <t>오아퀵맥-메탈그레이</t>
  </si>
  <si>
    <t>오아퀵스트랩-코튼핑크</t>
  </si>
  <si>
    <t>오아퀵스트랩-클라우디블루</t>
  </si>
  <si>
    <t>오아퀵스트랩-샌드크림</t>
  </si>
  <si>
    <t>오아퀵롤차저65W-어비스블랙</t>
  </si>
  <si>
    <t>오아렛츠플레이핏-블랙</t>
  </si>
  <si>
    <t>오아굿슬립pro-아이보리</t>
    <phoneticPr fontId="2" type="noConversion"/>
  </si>
  <si>
    <t>오아효도손마사지기-블랙</t>
  </si>
  <si>
    <t>보아르워터클링무선습식청소기-화이트</t>
  </si>
  <si>
    <t>카테고리</t>
    <phoneticPr fontId="2" type="noConversion"/>
  </si>
  <si>
    <t>CE</t>
    <phoneticPr fontId="2" type="noConversion"/>
  </si>
  <si>
    <t>현재고 8월2일 마감</t>
    <phoneticPr fontId="2" type="noConversion"/>
  </si>
  <si>
    <t>매칭처 링크</t>
    <phoneticPr fontId="2" type="noConversion"/>
  </si>
  <si>
    <t>https://brand.naver.com/oastore/products/12539033519</t>
  </si>
  <si>
    <t>https://brand.naver.com/oastore/products/11066158138</t>
  </si>
  <si>
    <t>https://brand.naver.com/oastore/products/9609372358</t>
  </si>
  <si>
    <t>https://brand.naver.com/oastore/products/9354518239</t>
  </si>
  <si>
    <t>https://brand.naver.com/oastore/products/11065721147</t>
  </si>
  <si>
    <t>https://brand.naver.com/oastore/products/7679005394</t>
  </si>
  <si>
    <t>https://brand.naver.com/oastore/products/12925308772</t>
  </si>
  <si>
    <t>https://brand.naver.com/oastore/products/12705869503</t>
  </si>
  <si>
    <t>https://brand.naver.com/oastore/products/9900907801</t>
  </si>
  <si>
    <t>https://brand.naver.com/oastore/products/13590832673</t>
  </si>
  <si>
    <t>https://brand.naver.com/oastore/products/10968719023</t>
  </si>
  <si>
    <t>https://brand.naver.com/oastore/products/9284094418</t>
  </si>
  <si>
    <t>https://brand.naver.com/voar/products/11619612155</t>
  </si>
  <si>
    <t>https://brand.naver.com/voar/products/13628170362</t>
  </si>
  <si>
    <t>https://brand.naver.com/voar/products/11150157110</t>
  </si>
  <si>
    <t>https://brand.naver.com/oastore/products/13369635148</t>
  </si>
  <si>
    <t>https://brand.naver.com/oastore/products/11276546696</t>
  </si>
  <si>
    <t>https://brand.naver.com/oastore/products/12977255077</t>
  </si>
  <si>
    <t>https://brand.naver.com/voar/products/8888408148</t>
  </si>
  <si>
    <t>https://brand.naver.com/voar/products/12332336582</t>
  </si>
  <si>
    <t>https://brand.naver.com/voar/products/12017169457</t>
  </si>
  <si>
    <t>https://brand.naver.com/oastore/products/6511025692</t>
  </si>
  <si>
    <t>https://brand.naver.com/oastore/products/10228113715</t>
  </si>
  <si>
    <t>https://brand.naver.com/oastore/products/13407673794</t>
  </si>
  <si>
    <t>https://brand.naver.com/oastore/products/13398407337</t>
  </si>
  <si>
    <t>https://brand.naver.com/oastore/products/6655158442</t>
  </si>
  <si>
    <t>https://brand.naver.com/voar/products/13279546056</t>
  </si>
  <si>
    <t>https://brand.naver.com/voar/products/11783643791</t>
  </si>
  <si>
    <t>https://brand.naver.com/voar/products/11774698672</t>
  </si>
  <si>
    <t>https://brand.naver.com/voar/products/12481242370</t>
  </si>
  <si>
    <t>https://brand.naver.com/oastore/products/4701043982</t>
  </si>
  <si>
    <t>https://brand.naver.com/oastore/products/5090748722</t>
  </si>
  <si>
    <t>https://brand.naver.com/oastore/products/4939360155</t>
  </si>
  <si>
    <t>https://brand.naver.com/oastore/products/11688066288</t>
  </si>
  <si>
    <t>https://brand.naver.com/oastore/products/10337174622</t>
  </si>
  <si>
    <t>https://brand.naver.com/voar/products/4891861630</t>
  </si>
  <si>
    <t>https://brand.naver.com/voar/products/13523160656</t>
  </si>
  <si>
    <t>https://brand.naver.com/oastore/products/9144023120</t>
  </si>
  <si>
    <t>https://brand.naver.com/oastore/products/13512784434</t>
  </si>
  <si>
    <t>https://brand.naver.com/oastore/products/12532803949</t>
  </si>
  <si>
    <t>https://brand.naver.com/oastore/products/11904555161</t>
  </si>
  <si>
    <t>https://brand.naver.com/oastore/products/9574460798</t>
  </si>
  <si>
    <t>https://brand.naver.com/oastore/products/11779283643</t>
  </si>
  <si>
    <t>https://brand.naver.com/voar/products/13105047133</t>
  </si>
  <si>
    <t>https://brand.naver.com/voar/products/4996533889</t>
  </si>
  <si>
    <t>https://brand.naver.com/voar/products/12765287105</t>
  </si>
  <si>
    <t>https://brand.naver.com/oastore/products/13208141560</t>
  </si>
  <si>
    <t>https://brand.naver.com/oastore/products/13057201530</t>
  </si>
  <si>
    <t>https://brand.naver.com/oastore/products/12944846510</t>
  </si>
  <si>
    <t>https://brand.naver.com/oastore/products/13208191685</t>
  </si>
  <si>
    <t>https://brand.naver.com/oastore/products/11452363057</t>
  </si>
  <si>
    <t>https://brand.naver.com/oastore/products/13457577213</t>
  </si>
  <si>
    <t>https://brand.naver.com/voar/products/4966241855</t>
  </si>
  <si>
    <t>https://brand.naver.com/voar/products/4925214169</t>
  </si>
  <si>
    <t>https://brand.naver.com/voar/products/4966254291</t>
  </si>
  <si>
    <t>https://brand.naver.com/oastore/products/12269625660</t>
  </si>
  <si>
    <t>https://brand.naver.com/oastore/products/11548841897</t>
  </si>
  <si>
    <t>https://brand.naver.com/oastore/products/4194574717</t>
  </si>
  <si>
    <t>https://brand.naver.com/oastore/products/11947489522</t>
  </si>
  <si>
    <t>https://brand.naver.com/oastore/products/10348021559</t>
  </si>
  <si>
    <t>https://brand.naver.com/oastore/products/10663027810</t>
  </si>
  <si>
    <t>공급가</t>
    <phoneticPr fontId="2" type="noConversion"/>
  </si>
  <si>
    <t>25년 네이버</t>
    <phoneticPr fontId="2" type="noConversion"/>
  </si>
  <si>
    <t>X</t>
  </si>
  <si>
    <t>신제품</t>
    <phoneticPr fontId="2" type="noConversion"/>
  </si>
  <si>
    <t>X</t>
    <phoneticPr fontId="2" type="noConversion"/>
  </si>
  <si>
    <t>예상판매수량</t>
    <phoneticPr fontId="2" type="noConversion"/>
  </si>
  <si>
    <t>발주필요량</t>
    <phoneticPr fontId="2" type="noConversion"/>
  </si>
  <si>
    <t>오아듀얼미스트맥스-포그밀크</t>
  </si>
  <si>
    <t>오아듀얼미스트맥스-클라우디블루</t>
  </si>
  <si>
    <t>sku id</t>
    <phoneticPr fontId="2" type="noConversion"/>
  </si>
  <si>
    <t>viid</t>
    <phoneticPr fontId="2" type="noConversion"/>
  </si>
  <si>
    <t>매칭처 링크</t>
    <phoneticPr fontId="2" type="noConversion"/>
  </si>
  <si>
    <t>https://brand.naver.com/oastore/products/11687579611</t>
  </si>
  <si>
    <t>https://brand.naver.com/oastore/products/13330706907</t>
  </si>
  <si>
    <t>https://brand.naver.com/oastore/products/10180513222</t>
  </si>
  <si>
    <t>https://brand.naver.com/oastore/products/13376945428</t>
  </si>
  <si>
    <t>오아에어리미니-블루</t>
  </si>
  <si>
    <t>https://brand.naver.com/oastore/products/12799151124</t>
  </si>
  <si>
    <t>https://brand.naver.com/voar/products/11673279981</t>
  </si>
  <si>
    <t>https://brand.naver.com/voar/products/12332998488</t>
  </si>
  <si>
    <t>https://brand.naver.com/voar/products/11784542174</t>
  </si>
  <si>
    <t>https://brand.naver.com/voar/products/10797002619</t>
  </si>
  <si>
    <t>https://brand.naver.com/voar/products/11046539916</t>
  </si>
  <si>
    <t>https://brand.naver.com/voar/products/9653550515</t>
  </si>
  <si>
    <t>https://brand.naver.com/voar/products/13462118038</t>
  </si>
  <si>
    <t>https://brand.naver.com/oastore/products/13662919629</t>
  </si>
  <si>
    <t>https://brand.naver.com/oastore/products/13662784453</t>
  </si>
  <si>
    <t>https://brand.naver.com/oastore/products/13686357139</t>
  </si>
  <si>
    <t>https://brand.naver.com/oastore/products/13376837080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</si>
</sst>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20" x14ac:knownFonts="1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9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  <font>
      <sz val="11"/>
      <color rgb="FF9C65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CFF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indexed="64"/>
      </left>
      <right/>
      <top style="double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theme="2" tint="-9.9978637043366805E-2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14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  <xf numFmtId="0" fontId="3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3" borderId="2" applyNumberFormat="0" applyAlignment="0" applyProtection="0">
      <alignment vertical="center"/>
    </xf>
    <xf numFmtId="0" fontId="11" fillId="4" borderId="3" applyNumberFormat="0" applyAlignment="0" applyProtection="0">
      <alignment vertical="center"/>
    </xf>
    <xf numFmtId="0" fontId="12" fillId="0" borderId="0"/>
    <xf numFmtId="0" fontId="13" fillId="6" borderId="0" applyNumberFormat="0" applyBorder="0" applyAlignment="0" applyProtection="0">
      <alignment vertical="center"/>
    </xf>
    <xf numFmtId="0" fontId="14" fillId="4" borderId="3" applyNumberFormat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</cellStyleXfs>
  <cellXfs count="190">
    <xf numFmtId="0" fontId="0" fillId="0" borderId="0" xfId="0">
      <alignment vertical="center"/>
    </xf>
    <xf numFmtId="41" fontId="7" fillId="0" borderId="7" xfId="11" applyNumberFormat="1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left" vertical="center"/>
    </xf>
    <xf numFmtId="0" fontId="16" fillId="5" borderId="0" xfId="0" applyFont="1" applyFill="1" applyAlignment="1">
      <alignment vertical="center"/>
    </xf>
    <xf numFmtId="0" fontId="16" fillId="7" borderId="19" xfId="0" applyFont="1" applyFill="1" applyBorder="1" applyAlignment="1">
      <alignment vertical="center"/>
    </xf>
    <xf numFmtId="41" fontId="16" fillId="7" borderId="19" xfId="3" applyFont="1" applyFill="1" applyBorder="1" applyAlignment="1">
      <alignment vertical="center"/>
    </xf>
    <xf numFmtId="0" fontId="18" fillId="8" borderId="1" xfId="1" applyFont="1" applyFill="1" applyBorder="1" applyAlignment="1">
      <alignment vertical="center"/>
    </xf>
    <xf numFmtId="0" fontId="16" fillId="8" borderId="1" xfId="0" applyFont="1" applyFill="1" applyBorder="1" applyAlignment="1">
      <alignment vertical="center"/>
    </xf>
    <xf numFmtId="0" fontId="18" fillId="0" borderId="0" xfId="0" applyFont="1" applyFill="1" applyBorder="1" applyAlignment="1">
      <alignment vertical="center"/>
    </xf>
    <xf numFmtId="0" fontId="19" fillId="5" borderId="0" xfId="0" applyFont="1" applyFill="1" applyAlignment="1">
      <alignment vertical="center"/>
    </xf>
    <xf numFmtId="0" fontId="18" fillId="8" borderId="36" xfId="1" applyFont="1" applyFill="1" applyBorder="1" applyAlignment="1">
      <alignment vertical="center"/>
    </xf>
    <xf numFmtId="0" fontId="18" fillId="5" borderId="38" xfId="1" applyFont="1" applyFill="1" applyBorder="1" applyAlignment="1">
      <alignment vertical="center"/>
    </xf>
    <xf numFmtId="0" fontId="18" fillId="5" borderId="4" xfId="1" applyFont="1" applyFill="1" applyBorder="1" applyAlignment="1">
      <alignment vertical="center"/>
    </xf>
    <xf numFmtId="0" fontId="18" fillId="5" borderId="1" xfId="1" applyFont="1" applyFill="1" applyBorder="1" applyAlignment="1">
      <alignment vertical="center"/>
    </xf>
    <xf numFmtId="0" fontId="18" fillId="0" borderId="41" xfId="0" applyFont="1" applyFill="1" applyBorder="1" applyAlignment="1">
      <alignment vertical="center"/>
    </xf>
    <xf numFmtId="0" fontId="18" fillId="10" borderId="1" xfId="1" applyFont="1" applyFill="1" applyBorder="1" applyAlignment="1">
      <alignment vertical="center"/>
    </xf>
    <xf numFmtId="0" fontId="16" fillId="10" borderId="0" xfId="0" applyFont="1" applyFill="1" applyAlignment="1">
      <alignment vertical="center"/>
    </xf>
    <xf numFmtId="0" fontId="18" fillId="8" borderId="38" xfId="1" applyFont="1" applyFill="1" applyBorder="1" applyAlignment="1">
      <alignment vertical="center"/>
    </xf>
    <xf numFmtId="0" fontId="18" fillId="5" borderId="38" xfId="0" applyFont="1" applyFill="1" applyBorder="1" applyAlignment="1">
      <alignment vertical="center"/>
    </xf>
    <xf numFmtId="0" fontId="18" fillId="5" borderId="1" xfId="0" applyFont="1" applyFill="1" applyBorder="1" applyAlignment="1">
      <alignment vertical="center"/>
    </xf>
    <xf numFmtId="0" fontId="16" fillId="5" borderId="1" xfId="0" applyFont="1" applyFill="1" applyBorder="1" applyAlignment="1">
      <alignment vertical="center"/>
    </xf>
    <xf numFmtId="0" fontId="18" fillId="5" borderId="36" xfId="1" applyFont="1" applyFill="1" applyBorder="1" applyAlignment="1">
      <alignment vertical="center"/>
    </xf>
    <xf numFmtId="41" fontId="16" fillId="5" borderId="0" xfId="3" applyFont="1" applyFill="1" applyAlignment="1">
      <alignment vertical="center"/>
    </xf>
    <xf numFmtId="3" fontId="18" fillId="5" borderId="5" xfId="5" applyNumberFormat="1" applyFont="1" applyFill="1" applyBorder="1" applyAlignment="1">
      <alignment vertical="center"/>
    </xf>
    <xf numFmtId="0" fontId="18" fillId="8" borderId="39" xfId="1" applyFont="1" applyFill="1" applyBorder="1" applyAlignment="1">
      <alignment vertical="center"/>
    </xf>
    <xf numFmtId="0" fontId="18" fillId="0" borderId="1" xfId="0" applyFont="1" applyFill="1" applyBorder="1" applyAlignment="1">
      <alignment vertical="center"/>
    </xf>
    <xf numFmtId="0" fontId="18" fillId="8" borderId="5" xfId="1" applyFont="1" applyFill="1" applyBorder="1" applyAlignment="1">
      <alignment vertical="center"/>
    </xf>
    <xf numFmtId="0" fontId="18" fillId="5" borderId="40" xfId="1" applyFont="1" applyFill="1" applyBorder="1" applyAlignment="1">
      <alignment vertical="center"/>
    </xf>
    <xf numFmtId="0" fontId="18" fillId="0" borderId="15" xfId="4" applyFont="1" applyFill="1" applyBorder="1" applyAlignment="1"/>
    <xf numFmtId="0" fontId="16" fillId="0" borderId="16" xfId="0" applyFont="1" applyFill="1" applyBorder="1" applyAlignment="1">
      <alignment vertical="center"/>
    </xf>
    <xf numFmtId="0" fontId="16" fillId="0" borderId="1" xfId="0" applyFont="1" applyFill="1" applyBorder="1" applyAlignment="1">
      <alignment vertical="center"/>
    </xf>
    <xf numFmtId="41" fontId="19" fillId="0" borderId="1" xfId="3" applyFont="1" applyFill="1" applyBorder="1" applyAlignment="1">
      <alignment vertical="center"/>
    </xf>
    <xf numFmtId="0" fontId="19" fillId="0" borderId="1" xfId="0" applyFont="1" applyFill="1" applyBorder="1" applyAlignment="1">
      <alignment vertical="center"/>
    </xf>
    <xf numFmtId="38" fontId="18" fillId="0" borderId="1" xfId="1" applyNumberFormat="1" applyFont="1" applyFill="1" applyBorder="1" applyAlignment="1">
      <alignment vertical="center"/>
    </xf>
    <xf numFmtId="3" fontId="18" fillId="0" borderId="1" xfId="5" applyNumberFormat="1" applyFont="1" applyFill="1" applyBorder="1" applyAlignment="1">
      <alignment vertical="center"/>
    </xf>
    <xf numFmtId="41" fontId="18" fillId="0" borderId="1" xfId="3" applyFont="1" applyFill="1" applyBorder="1" applyAlignment="1">
      <alignment vertical="center"/>
    </xf>
    <xf numFmtId="3" fontId="18" fillId="0" borderId="1" xfId="3" applyNumberFormat="1" applyFont="1" applyFill="1" applyBorder="1" applyAlignment="1">
      <alignment vertical="center"/>
    </xf>
    <xf numFmtId="3" fontId="18" fillId="0" borderId="36" xfId="5" applyNumberFormat="1" applyFont="1" applyFill="1" applyBorder="1" applyAlignment="1">
      <alignment vertical="center"/>
    </xf>
    <xf numFmtId="41" fontId="18" fillId="0" borderId="36" xfId="3" applyFont="1" applyFill="1" applyBorder="1" applyAlignment="1">
      <alignment vertical="center"/>
    </xf>
    <xf numFmtId="41" fontId="19" fillId="0" borderId="36" xfId="3" applyFont="1" applyFill="1" applyBorder="1" applyAlignment="1">
      <alignment vertical="center"/>
    </xf>
    <xf numFmtId="0" fontId="19" fillId="0" borderId="36" xfId="0" applyFont="1" applyFill="1" applyBorder="1" applyAlignment="1">
      <alignment vertical="center"/>
    </xf>
    <xf numFmtId="38" fontId="18" fillId="0" borderId="36" xfId="1" applyNumberFormat="1" applyFont="1" applyFill="1" applyBorder="1" applyAlignment="1">
      <alignment vertical="center"/>
    </xf>
    <xf numFmtId="3" fontId="16" fillId="0" borderId="4" xfId="3" applyNumberFormat="1" applyFont="1" applyFill="1" applyBorder="1" applyAlignment="1">
      <alignment vertical="center"/>
    </xf>
    <xf numFmtId="41" fontId="18" fillId="0" borderId="4" xfId="3" applyFont="1" applyFill="1" applyBorder="1" applyAlignment="1">
      <alignment vertical="center"/>
    </xf>
    <xf numFmtId="41" fontId="19" fillId="0" borderId="4" xfId="3" applyFont="1" applyFill="1" applyBorder="1" applyAlignment="1">
      <alignment vertical="center"/>
    </xf>
    <xf numFmtId="0" fontId="19" fillId="0" borderId="4" xfId="0" applyFont="1" applyFill="1" applyBorder="1" applyAlignment="1">
      <alignment vertical="center"/>
    </xf>
    <xf numFmtId="38" fontId="18" fillId="0" borderId="4" xfId="1" applyNumberFormat="1" applyFont="1" applyFill="1" applyBorder="1" applyAlignment="1">
      <alignment vertical="center"/>
    </xf>
    <xf numFmtId="3" fontId="18" fillId="0" borderId="1" xfId="10" applyNumberFormat="1" applyFont="1" applyFill="1" applyBorder="1" applyAlignment="1">
      <alignment vertical="center"/>
    </xf>
    <xf numFmtId="3" fontId="16" fillId="0" borderId="1" xfId="3" applyNumberFormat="1" applyFont="1" applyFill="1" applyBorder="1" applyAlignment="1">
      <alignment vertical="center"/>
    </xf>
    <xf numFmtId="38" fontId="16" fillId="0" borderId="1" xfId="1" applyNumberFormat="1" applyFont="1" applyFill="1" applyBorder="1" applyAlignment="1">
      <alignment vertical="center"/>
    </xf>
    <xf numFmtId="0" fontId="16" fillId="0" borderId="13" xfId="1" applyFont="1" applyFill="1" applyBorder="1" applyAlignment="1">
      <alignment vertical="center"/>
    </xf>
    <xf numFmtId="0" fontId="18" fillId="0" borderId="13" xfId="0" applyFont="1" applyFill="1" applyBorder="1" applyAlignment="1">
      <alignment vertical="center"/>
    </xf>
    <xf numFmtId="0" fontId="18" fillId="0" borderId="13" xfId="2" applyFont="1" applyFill="1" applyBorder="1" applyAlignment="1">
      <alignment vertical="center"/>
    </xf>
    <xf numFmtId="0" fontId="18" fillId="0" borderId="13" xfId="4" applyFont="1" applyFill="1" applyBorder="1" applyAlignment="1">
      <alignment vertical="center"/>
    </xf>
    <xf numFmtId="0" fontId="18" fillId="0" borderId="13" xfId="7" applyFont="1" applyFill="1" applyBorder="1" applyAlignment="1"/>
    <xf numFmtId="0" fontId="18" fillId="0" borderId="42" xfId="4" applyFont="1" applyFill="1" applyBorder="1" applyAlignment="1">
      <alignment vertical="center"/>
    </xf>
    <xf numFmtId="0" fontId="18" fillId="0" borderId="25" xfId="4" applyFont="1" applyFill="1" applyBorder="1" applyAlignment="1">
      <alignment vertical="center"/>
    </xf>
    <xf numFmtId="0" fontId="16" fillId="0" borderId="42" xfId="1" applyFont="1" applyFill="1" applyBorder="1" applyAlignment="1">
      <alignment vertical="center"/>
    </xf>
    <xf numFmtId="0" fontId="18" fillId="0" borderId="42" xfId="0" applyFont="1" applyFill="1" applyBorder="1" applyAlignment="1">
      <alignment vertical="center"/>
    </xf>
    <xf numFmtId="0" fontId="18" fillId="0" borderId="25" xfId="0" applyFont="1" applyFill="1" applyBorder="1" applyAlignment="1">
      <alignment vertical="center"/>
    </xf>
    <xf numFmtId="0" fontId="16" fillId="0" borderId="13" xfId="0" applyFont="1" applyFill="1" applyBorder="1" applyAlignment="1">
      <alignment vertical="center"/>
    </xf>
    <xf numFmtId="0" fontId="18" fillId="0" borderId="43" xfId="7" applyFont="1" applyFill="1" applyBorder="1" applyAlignment="1"/>
    <xf numFmtId="0" fontId="18" fillId="0" borderId="13" xfId="1" applyFont="1" applyFill="1" applyBorder="1" applyAlignment="1">
      <alignment vertical="center"/>
    </xf>
    <xf numFmtId="0" fontId="16" fillId="0" borderId="25" xfId="1" applyFont="1" applyFill="1" applyBorder="1" applyAlignment="1">
      <alignment vertical="center"/>
    </xf>
    <xf numFmtId="0" fontId="18" fillId="5" borderId="1" xfId="4" applyFont="1" applyFill="1" applyBorder="1" applyAlignment="1"/>
    <xf numFmtId="0" fontId="18" fillId="0" borderId="1" xfId="4" applyFont="1" applyFill="1" applyBorder="1" applyAlignment="1"/>
    <xf numFmtId="0" fontId="16" fillId="11" borderId="18" xfId="0" applyFont="1" applyFill="1" applyBorder="1" applyAlignment="1">
      <alignment vertical="center"/>
    </xf>
    <xf numFmtId="0" fontId="16" fillId="11" borderId="19" xfId="0" applyFont="1" applyFill="1" applyBorder="1" applyAlignment="1">
      <alignment vertical="center"/>
    </xf>
    <xf numFmtId="0" fontId="16" fillId="11" borderId="27" xfId="0" applyFont="1" applyFill="1" applyBorder="1" applyAlignment="1">
      <alignment vertical="center"/>
    </xf>
    <xf numFmtId="38" fontId="18" fillId="0" borderId="1" xfId="1" applyNumberFormat="1" applyFont="1" applyFill="1" applyBorder="1" applyAlignment="1">
      <alignment horizontal="center" vertical="center"/>
    </xf>
    <xf numFmtId="0" fontId="18" fillId="0" borderId="4" xfId="4" applyFont="1" applyFill="1" applyBorder="1" applyAlignment="1"/>
    <xf numFmtId="38" fontId="18" fillId="0" borderId="4" xfId="1" applyNumberFormat="1" applyFont="1" applyFill="1" applyBorder="1" applyAlignment="1">
      <alignment horizontal="center" vertical="center"/>
    </xf>
    <xf numFmtId="0" fontId="18" fillId="5" borderId="4" xfId="4" applyFont="1" applyFill="1" applyBorder="1" applyAlignment="1"/>
    <xf numFmtId="0" fontId="18" fillId="5" borderId="36" xfId="4" applyFont="1" applyFill="1" applyBorder="1" applyAlignment="1"/>
    <xf numFmtId="38" fontId="18" fillId="0" borderId="36" xfId="1" applyNumberFormat="1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vertical="center"/>
    </xf>
    <xf numFmtId="0" fontId="18" fillId="8" borderId="4" xfId="1" applyFont="1" applyFill="1" applyBorder="1" applyAlignment="1">
      <alignment vertical="center"/>
    </xf>
    <xf numFmtId="0" fontId="18" fillId="0" borderId="25" xfId="9" applyFont="1" applyFill="1" applyBorder="1" applyAlignment="1">
      <alignment vertical="center"/>
    </xf>
    <xf numFmtId="3" fontId="18" fillId="0" borderId="4" xfId="3" applyNumberFormat="1" applyFont="1" applyFill="1" applyBorder="1" applyAlignment="1">
      <alignment vertical="center"/>
    </xf>
    <xf numFmtId="0" fontId="18" fillId="0" borderId="43" xfId="4" applyFont="1" applyFill="1" applyBorder="1" applyAlignment="1">
      <alignment vertical="center"/>
    </xf>
    <xf numFmtId="0" fontId="18" fillId="0" borderId="36" xfId="4" applyFont="1" applyFill="1" applyBorder="1" applyAlignment="1"/>
    <xf numFmtId="3" fontId="18" fillId="0" borderId="36" xfId="10" applyNumberFormat="1" applyFont="1" applyFill="1" applyBorder="1" applyAlignment="1">
      <alignment vertical="center"/>
    </xf>
    <xf numFmtId="0" fontId="18" fillId="0" borderId="44" xfId="0" applyFont="1" applyFill="1" applyBorder="1" applyAlignment="1">
      <alignment vertical="center"/>
    </xf>
    <xf numFmtId="0" fontId="18" fillId="0" borderId="0" xfId="0" applyFont="1" applyFill="1" applyBorder="1" applyAlignment="1">
      <alignment horizontal="right" vertical="center"/>
    </xf>
    <xf numFmtId="41" fontId="18" fillId="0" borderId="1" xfId="3" applyFont="1" applyFill="1" applyBorder="1" applyAlignment="1">
      <alignment horizontal="right" vertical="center"/>
    </xf>
    <xf numFmtId="41" fontId="18" fillId="0" borderId="36" xfId="3" applyFont="1" applyFill="1" applyBorder="1" applyAlignment="1">
      <alignment horizontal="right" vertical="center"/>
    </xf>
    <xf numFmtId="41" fontId="18" fillId="0" borderId="4" xfId="3" applyFont="1" applyFill="1" applyBorder="1" applyAlignment="1">
      <alignment horizontal="right" vertical="center"/>
    </xf>
    <xf numFmtId="0" fontId="16" fillId="8" borderId="45" xfId="0" applyFont="1" applyFill="1" applyBorder="1" applyAlignment="1">
      <alignment horizontal="left" vertical="top"/>
    </xf>
    <xf numFmtId="0" fontId="15" fillId="0" borderId="6" xfId="11" applyFont="1" applyFill="1" applyBorder="1" applyAlignment="1">
      <alignment horizontal="center" vertical="center"/>
    </xf>
    <xf numFmtId="3" fontId="7" fillId="0" borderId="29" xfId="11" applyNumberFormat="1" applyFont="1" applyFill="1" applyBorder="1" applyAlignment="1">
      <alignment horizontal="center" vertical="center"/>
    </xf>
    <xf numFmtId="3" fontId="7" fillId="0" borderId="28" xfId="11" applyNumberFormat="1" applyFont="1" applyFill="1" applyBorder="1" applyAlignment="1">
      <alignment horizontal="center" vertical="center"/>
    </xf>
    <xf numFmtId="0" fontId="9" fillId="0" borderId="6" xfId="1" applyNumberFormat="1" applyFont="1" applyFill="1" applyBorder="1" applyAlignment="1">
      <alignment horizontal="center" vertical="center"/>
    </xf>
    <xf numFmtId="0" fontId="9" fillId="0" borderId="7" xfId="1" applyNumberFormat="1" applyFont="1" applyFill="1" applyBorder="1" applyAlignment="1">
      <alignment horizontal="center" vertical="center"/>
    </xf>
    <xf numFmtId="0" fontId="7" fillId="0" borderId="9" xfId="7" applyFont="1" applyFill="1" applyBorder="1" applyAlignment="1">
      <alignment horizontal="left"/>
    </xf>
    <xf numFmtId="3" fontId="7" fillId="0" borderId="9" xfId="5" applyNumberFormat="1" applyFont="1" applyFill="1" applyBorder="1" applyAlignment="1">
      <alignment horizontal="center" vertical="center"/>
    </xf>
    <xf numFmtId="3" fontId="7" fillId="0" borderId="21" xfId="5" applyNumberFormat="1" applyFont="1" applyFill="1" applyBorder="1" applyAlignment="1">
      <alignment horizontal="center" vertical="center"/>
    </xf>
    <xf numFmtId="41" fontId="4" fillId="0" borderId="29" xfId="3" applyFont="1" applyFill="1" applyBorder="1" applyAlignment="1">
      <alignment horizontal="left" vertical="top"/>
    </xf>
    <xf numFmtId="0" fontId="9" fillId="0" borderId="9" xfId="1" applyNumberFormat="1" applyFont="1" applyFill="1" applyBorder="1" applyAlignment="1">
      <alignment horizontal="center" vertical="center"/>
    </xf>
    <xf numFmtId="0" fontId="9" fillId="0" borderId="1" xfId="1" applyNumberFormat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41" fontId="4" fillId="0" borderId="30" xfId="3" applyFont="1" applyFill="1" applyBorder="1" applyAlignment="1">
      <alignment horizontal="left" vertical="top"/>
    </xf>
    <xf numFmtId="0" fontId="17" fillId="0" borderId="23" xfId="2" applyFont="1" applyBorder="1" applyAlignment="1">
      <alignment horizontal="left" vertical="center"/>
    </xf>
    <xf numFmtId="0" fontId="7" fillId="0" borderId="9" xfId="2" applyFont="1" applyBorder="1" applyAlignment="1">
      <alignment horizontal="left" vertical="center"/>
    </xf>
    <xf numFmtId="0" fontId="7" fillId="0" borderId="9" xfId="1" applyFont="1" applyFill="1" applyBorder="1" applyAlignment="1">
      <alignment horizontal="left" vertical="center"/>
    </xf>
    <xf numFmtId="0" fontId="9" fillId="0" borderId="10" xfId="1" applyNumberFormat="1" applyFont="1" applyFill="1" applyBorder="1" applyAlignment="1">
      <alignment horizontal="center" vertical="center"/>
    </xf>
    <xf numFmtId="0" fontId="9" fillId="0" borderId="11" xfId="1" applyNumberFormat="1" applyFont="1" applyFill="1" applyBorder="1" applyAlignment="1">
      <alignment horizontal="center" vertical="center"/>
    </xf>
    <xf numFmtId="0" fontId="7" fillId="0" borderId="10" xfId="0" applyFont="1" applyBorder="1" applyAlignment="1">
      <alignment horizontal="left" vertical="center"/>
    </xf>
    <xf numFmtId="3" fontId="7" fillId="0" borderId="10" xfId="5" applyNumberFormat="1" applyFont="1" applyFill="1" applyBorder="1" applyAlignment="1">
      <alignment horizontal="center" vertical="center"/>
    </xf>
    <xf numFmtId="3" fontId="7" fillId="0" borderId="22" xfId="5" applyNumberFormat="1" applyFont="1" applyFill="1" applyBorder="1" applyAlignment="1">
      <alignment horizontal="center" vertical="center"/>
    </xf>
    <xf numFmtId="41" fontId="4" fillId="0" borderId="31" xfId="3" applyFont="1" applyFill="1" applyBorder="1" applyAlignment="1">
      <alignment horizontal="left" vertical="top"/>
    </xf>
    <xf numFmtId="0" fontId="16" fillId="5" borderId="36" xfId="0" applyFont="1" applyFill="1" applyBorder="1" applyAlignment="1">
      <alignment vertical="center"/>
    </xf>
    <xf numFmtId="0" fontId="18" fillId="0" borderId="36" xfId="0" applyFont="1" applyFill="1" applyBorder="1" applyAlignment="1">
      <alignment vertical="center"/>
    </xf>
    <xf numFmtId="0" fontId="7" fillId="0" borderId="22" xfId="7" applyFont="1" applyFill="1" applyBorder="1" applyAlignment="1"/>
    <xf numFmtId="0" fontId="7" fillId="0" borderId="17" xfId="7" applyFont="1" applyFill="1" applyBorder="1" applyAlignment="1"/>
    <xf numFmtId="0" fontId="7" fillId="0" borderId="34" xfId="7" applyFont="1" applyFill="1" applyBorder="1" applyAlignment="1"/>
    <xf numFmtId="0" fontId="7" fillId="0" borderId="21" xfId="7" applyFont="1" applyFill="1" applyBorder="1" applyAlignment="1"/>
    <xf numFmtId="0" fontId="7" fillId="0" borderId="16" xfId="7" applyFont="1" applyFill="1" applyBorder="1" applyAlignment="1"/>
    <xf numFmtId="0" fontId="7" fillId="0" borderId="33" xfId="7" applyFont="1" applyFill="1" applyBorder="1" applyAlignment="1"/>
    <xf numFmtId="0" fontId="16" fillId="2" borderId="6" xfId="0" applyFont="1" applyFill="1" applyBorder="1" applyAlignment="1">
      <alignment vertical="center"/>
    </xf>
    <xf numFmtId="0" fontId="16" fillId="2" borderId="7" xfId="0" applyFont="1" applyFill="1" applyBorder="1" applyAlignment="1">
      <alignment vertical="center"/>
    </xf>
    <xf numFmtId="0" fontId="16" fillId="2" borderId="26" xfId="0" applyFont="1" applyFill="1" applyBorder="1" applyAlignment="1">
      <alignment vertical="center"/>
    </xf>
    <xf numFmtId="0" fontId="16" fillId="2" borderId="8" xfId="0" applyFont="1" applyFill="1" applyBorder="1" applyAlignment="1">
      <alignment vertical="center"/>
    </xf>
    <xf numFmtId="0" fontId="16" fillId="2" borderId="10" xfId="0" applyFont="1" applyFill="1" applyBorder="1" applyAlignment="1">
      <alignment vertical="center"/>
    </xf>
    <xf numFmtId="0" fontId="16" fillId="2" borderId="11" xfId="0" applyFont="1" applyFill="1" applyBorder="1" applyAlignment="1">
      <alignment vertical="center"/>
    </xf>
    <xf numFmtId="0" fontId="16" fillId="2" borderId="14" xfId="0" applyFont="1" applyFill="1" applyBorder="1" applyAlignment="1">
      <alignment vertical="center"/>
    </xf>
    <xf numFmtId="0" fontId="16" fillId="2" borderId="12" xfId="0" applyFont="1" applyFill="1" applyBorder="1" applyAlignment="1">
      <alignment vertical="center"/>
    </xf>
    <xf numFmtId="0" fontId="16" fillId="8" borderId="6" xfId="0" applyFont="1" applyFill="1" applyBorder="1" applyAlignment="1">
      <alignment vertical="center" wrapText="1"/>
    </xf>
    <xf numFmtId="0" fontId="16" fillId="8" borderId="24" xfId="0" applyFont="1" applyFill="1" applyBorder="1" applyAlignment="1">
      <alignment vertical="center" wrapText="1"/>
    </xf>
    <xf numFmtId="0" fontId="16" fillId="8" borderId="9" xfId="0" applyFont="1" applyFill="1" applyBorder="1" applyAlignment="1">
      <alignment vertical="center" wrapText="1"/>
    </xf>
    <xf numFmtId="0" fontId="16" fillId="8" borderId="35" xfId="0" applyFont="1" applyFill="1" applyBorder="1" applyAlignment="1">
      <alignment vertical="center" wrapText="1"/>
    </xf>
    <xf numFmtId="0" fontId="18" fillId="8" borderId="7" xfId="1" applyFont="1" applyFill="1" applyBorder="1" applyAlignment="1">
      <alignment vertical="center"/>
    </xf>
    <xf numFmtId="0" fontId="18" fillId="8" borderId="4" xfId="1" applyFont="1" applyFill="1" applyBorder="1" applyAlignment="1">
      <alignment vertical="center"/>
    </xf>
    <xf numFmtId="0" fontId="18" fillId="8" borderId="1" xfId="1" applyFont="1" applyFill="1" applyBorder="1" applyAlignment="1">
      <alignment vertical="center"/>
    </xf>
    <xf numFmtId="0" fontId="18" fillId="8" borderId="36" xfId="1" applyFont="1" applyFill="1" applyBorder="1" applyAlignment="1">
      <alignment vertical="center"/>
    </xf>
    <xf numFmtId="0" fontId="16" fillId="5" borderId="37" xfId="0" applyFont="1" applyFill="1" applyBorder="1" applyAlignment="1">
      <alignment vertical="center" wrapText="1"/>
    </xf>
    <xf numFmtId="0" fontId="16" fillId="5" borderId="24" xfId="0" applyFont="1" applyFill="1" applyBorder="1" applyAlignment="1">
      <alignment vertical="center" wrapText="1"/>
    </xf>
    <xf numFmtId="0" fontId="16" fillId="5" borderId="9" xfId="0" applyFont="1" applyFill="1" applyBorder="1" applyAlignment="1">
      <alignment vertical="center" wrapText="1"/>
    </xf>
    <xf numFmtId="0" fontId="16" fillId="5" borderId="35" xfId="0" applyFont="1" applyFill="1" applyBorder="1" applyAlignment="1">
      <alignment vertical="center" wrapText="1"/>
    </xf>
    <xf numFmtId="0" fontId="18" fillId="5" borderId="38" xfId="0" applyFont="1" applyFill="1" applyBorder="1" applyAlignment="1">
      <alignment vertical="center"/>
    </xf>
    <xf numFmtId="0" fontId="18" fillId="5" borderId="4" xfId="0" applyFont="1" applyFill="1" applyBorder="1" applyAlignment="1">
      <alignment vertical="center"/>
    </xf>
    <xf numFmtId="0" fontId="18" fillId="5" borderId="1" xfId="0" applyFont="1" applyFill="1" applyBorder="1" applyAlignment="1">
      <alignment vertical="center"/>
    </xf>
    <xf numFmtId="0" fontId="18" fillId="5" borderId="36" xfId="0" applyFont="1" applyFill="1" applyBorder="1" applyAlignment="1">
      <alignment vertical="center"/>
    </xf>
    <xf numFmtId="0" fontId="18" fillId="8" borderId="20" xfId="1" applyFont="1" applyFill="1" applyBorder="1" applyAlignment="1">
      <alignment vertical="center"/>
    </xf>
    <xf numFmtId="0" fontId="18" fillId="8" borderId="19" xfId="1" applyFont="1" applyFill="1" applyBorder="1" applyAlignment="1">
      <alignment vertical="center"/>
    </xf>
    <xf numFmtId="0" fontId="18" fillId="8" borderId="5" xfId="1" applyFont="1" applyFill="1" applyBorder="1" applyAlignment="1">
      <alignment vertical="center"/>
    </xf>
    <xf numFmtId="0" fontId="18" fillId="8" borderId="39" xfId="1" applyFont="1" applyFill="1" applyBorder="1" applyAlignment="1">
      <alignment vertical="center"/>
    </xf>
    <xf numFmtId="0" fontId="18" fillId="5" borderId="40" xfId="0" applyFont="1" applyFill="1" applyBorder="1" applyAlignment="1">
      <alignment vertical="center"/>
    </xf>
    <xf numFmtId="0" fontId="18" fillId="5" borderId="19" xfId="0" applyFont="1" applyFill="1" applyBorder="1" applyAlignment="1">
      <alignment vertical="center"/>
    </xf>
    <xf numFmtId="0" fontId="16" fillId="9" borderId="37" xfId="0" applyFont="1" applyFill="1" applyBorder="1" applyAlignment="1">
      <alignment vertical="center" wrapText="1"/>
    </xf>
    <xf numFmtId="0" fontId="16" fillId="9" borderId="24" xfId="0" applyFont="1" applyFill="1" applyBorder="1" applyAlignment="1">
      <alignment vertical="center" wrapText="1"/>
    </xf>
    <xf numFmtId="0" fontId="16" fillId="9" borderId="9" xfId="0" applyFont="1" applyFill="1" applyBorder="1" applyAlignment="1">
      <alignment vertical="center" wrapText="1"/>
    </xf>
    <xf numFmtId="0" fontId="16" fillId="9" borderId="35" xfId="0" applyFont="1" applyFill="1" applyBorder="1" applyAlignment="1">
      <alignment vertical="center" wrapText="1"/>
    </xf>
    <xf numFmtId="0" fontId="18" fillId="9" borderId="38" xfId="0" applyFont="1" applyFill="1" applyBorder="1" applyAlignment="1">
      <alignment vertical="center"/>
    </xf>
    <xf numFmtId="0" fontId="18" fillId="9" borderId="4" xfId="0" applyFont="1" applyFill="1" applyBorder="1" applyAlignment="1">
      <alignment vertical="center"/>
    </xf>
    <xf numFmtId="0" fontId="18" fillId="9" borderId="1" xfId="0" applyFont="1" applyFill="1" applyBorder="1" applyAlignment="1">
      <alignment vertical="center"/>
    </xf>
    <xf numFmtId="0" fontId="18" fillId="9" borderId="36" xfId="0" applyFont="1" applyFill="1" applyBorder="1" applyAlignment="1">
      <alignment vertical="center"/>
    </xf>
    <xf numFmtId="0" fontId="16" fillId="8" borderId="37" xfId="0" applyFont="1" applyFill="1" applyBorder="1" applyAlignment="1">
      <alignment vertical="center" wrapText="1"/>
    </xf>
    <xf numFmtId="0" fontId="18" fillId="8" borderId="38" xfId="0" applyFont="1" applyFill="1" applyBorder="1" applyAlignment="1">
      <alignment vertical="center"/>
    </xf>
    <xf numFmtId="0" fontId="18" fillId="8" borderId="1" xfId="0" applyFont="1" applyFill="1" applyBorder="1" applyAlignment="1">
      <alignment vertical="center"/>
    </xf>
    <xf numFmtId="0" fontId="18" fillId="8" borderId="36" xfId="0" applyFont="1" applyFill="1" applyBorder="1" applyAlignment="1">
      <alignment vertical="center"/>
    </xf>
    <xf numFmtId="0" fontId="16" fillId="2" borderId="37" xfId="0" applyFont="1" applyFill="1" applyBorder="1" applyAlignment="1">
      <alignment vertical="center" wrapText="1"/>
    </xf>
    <xf numFmtId="0" fontId="16" fillId="2" borderId="9" xfId="0" applyFont="1" applyFill="1" applyBorder="1" applyAlignment="1">
      <alignment vertical="center" wrapText="1"/>
    </xf>
    <xf numFmtId="0" fontId="16" fillId="2" borderId="35" xfId="0" applyFont="1" applyFill="1" applyBorder="1" applyAlignment="1">
      <alignment vertical="center" wrapText="1"/>
    </xf>
    <xf numFmtId="0" fontId="18" fillId="9" borderId="38" xfId="2" applyFont="1" applyFill="1" applyBorder="1" applyAlignment="1">
      <alignment vertical="center"/>
    </xf>
    <xf numFmtId="0" fontId="18" fillId="9" borderId="4" xfId="2" applyFont="1" applyFill="1" applyBorder="1" applyAlignment="1">
      <alignment vertical="center"/>
    </xf>
    <xf numFmtId="0" fontId="18" fillId="9" borderId="1" xfId="2" applyFont="1" applyFill="1" applyBorder="1" applyAlignment="1">
      <alignment vertical="center"/>
    </xf>
    <xf numFmtId="0" fontId="18" fillId="9" borderId="36" xfId="2" applyFont="1" applyFill="1" applyBorder="1" applyAlignment="1">
      <alignment vertical="center"/>
    </xf>
    <xf numFmtId="0" fontId="18" fillId="2" borderId="38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vertical="center"/>
    </xf>
    <xf numFmtId="0" fontId="18" fillId="2" borderId="36" xfId="0" applyFont="1" applyFill="1" applyBorder="1" applyAlignment="1">
      <alignment vertical="center"/>
    </xf>
    <xf numFmtId="0" fontId="18" fillId="5" borderId="5" xfId="0" applyFont="1" applyFill="1" applyBorder="1" applyAlignment="1">
      <alignment vertical="center"/>
    </xf>
    <xf numFmtId="0" fontId="18" fillId="5" borderId="39" xfId="0" applyFont="1" applyFill="1" applyBorder="1" applyAlignment="1">
      <alignment vertical="center"/>
    </xf>
    <xf numFmtId="0" fontId="16" fillId="8" borderId="46" xfId="0" applyFont="1" applyFill="1" applyBorder="1" applyAlignment="1">
      <alignment horizontal="center" vertical="top"/>
    </xf>
    <xf numFmtId="0" fontId="16" fillId="8" borderId="15" xfId="0" applyFont="1" applyFill="1" applyBorder="1" applyAlignment="1">
      <alignment horizontal="center" vertical="top"/>
    </xf>
    <xf numFmtId="0" fontId="16" fillId="8" borderId="32" xfId="0" applyFont="1" applyFill="1" applyBorder="1" applyAlignment="1">
      <alignment horizontal="center" vertical="top"/>
    </xf>
    <xf numFmtId="0" fontId="18" fillId="9" borderId="5" xfId="0" applyFont="1" applyFill="1" applyBorder="1" applyAlignment="1">
      <alignment vertical="center"/>
    </xf>
    <xf numFmtId="0" fontId="18" fillId="9" borderId="19" xfId="0" applyFont="1" applyFill="1" applyBorder="1" applyAlignment="1">
      <alignment vertical="center"/>
    </xf>
    <xf numFmtId="0" fontId="18" fillId="9" borderId="39" xfId="0" applyFont="1" applyFill="1" applyBorder="1" applyAlignment="1">
      <alignment vertical="center"/>
    </xf>
    <xf numFmtId="0" fontId="18" fillId="2" borderId="5" xfId="0" applyFont="1" applyFill="1" applyBorder="1" applyAlignment="1">
      <alignment vertical="center"/>
    </xf>
    <xf numFmtId="0" fontId="18" fillId="2" borderId="19" xfId="0" applyFont="1" applyFill="1" applyBorder="1" applyAlignment="1">
      <alignment vertical="center"/>
    </xf>
    <xf numFmtId="0" fontId="18" fillId="2" borderId="39" xfId="0" applyFont="1" applyFill="1" applyBorder="1" applyAlignment="1">
      <alignment vertical="center"/>
    </xf>
    <xf numFmtId="0" fontId="18" fillId="8" borderId="40" xfId="0" applyFont="1" applyFill="1" applyBorder="1" applyAlignment="1">
      <alignment vertical="center"/>
    </xf>
    <xf numFmtId="0" fontId="18" fillId="8" borderId="19" xfId="0" applyFont="1" applyFill="1" applyBorder="1" applyAlignment="1">
      <alignment vertical="center"/>
    </xf>
    <xf numFmtId="0" fontId="18" fillId="8" borderId="4" xfId="0" applyFont="1" applyFill="1" applyBorder="1" applyAlignment="1">
      <alignment vertical="center"/>
    </xf>
    <xf numFmtId="0" fontId="18" fillId="9" borderId="40" xfId="0" applyFont="1" applyFill="1" applyBorder="1" applyAlignment="1">
      <alignment vertical="center"/>
    </xf>
    <xf numFmtId="0" fontId="18" fillId="2" borderId="40" xfId="0" applyFont="1" applyFill="1" applyBorder="1" applyAlignment="1">
      <alignment vertical="center" wrapText="1"/>
    </xf>
    <xf numFmtId="0" fontId="18" fillId="2" borderId="19" xfId="0" applyFont="1" applyFill="1" applyBorder="1" applyAlignment="1">
      <alignment vertical="center" wrapText="1"/>
    </xf>
    <xf numFmtId="0" fontId="18" fillId="2" borderId="4" xfId="0" applyFont="1" applyFill="1" applyBorder="1" applyAlignment="1">
      <alignment vertical="center" wrapText="1"/>
    </xf>
    <xf numFmtId="0" fontId="18" fillId="9" borderId="40" xfId="2" applyFont="1" applyFill="1" applyBorder="1" applyAlignment="1">
      <alignment vertical="center"/>
    </xf>
    <xf numFmtId="0" fontId="18" fillId="9" borderId="19" xfId="2" applyFont="1" applyFill="1" applyBorder="1" applyAlignment="1">
      <alignment vertical="center"/>
    </xf>
  </cellXfs>
  <cellStyles count="14">
    <cellStyle name="경고문" xfId="1" builtinId="11"/>
    <cellStyle name="경고문 2" xfId="6" xr:uid="{00000000-0005-0000-0000-000001000000}"/>
    <cellStyle name="계산" xfId="4" builtinId="22"/>
    <cellStyle name="계산 2" xfId="7" xr:uid="{00000000-0005-0000-0000-000003000000}"/>
    <cellStyle name="보통" xfId="10" builtinId="28"/>
    <cellStyle name="셀 확인" xfId="11" builtinId="23"/>
    <cellStyle name="셀 확인 2" xfId="8" xr:uid="{00000000-0005-0000-0000-000009000000}"/>
    <cellStyle name="쉼표 [0]" xfId="3" builtinId="6"/>
    <cellStyle name="쉼표 [0] 2" xfId="5" xr:uid="{00000000-0005-0000-0000-00000B000000}"/>
    <cellStyle name="쉼표 [0] 2 3" xfId="13" xr:uid="{00000000-0005-0000-0000-00000C000000}"/>
    <cellStyle name="쉼표 [0] 3" xfId="12" xr:uid="{00000000-0005-0000-0000-00000D000000}"/>
    <cellStyle name="표준" xfId="0" builtinId="0"/>
    <cellStyle name="표준 2" xfId="9" xr:uid="{00000000-0005-0000-0000-00000F000000}"/>
    <cellStyle name="표준 4" xfId="2" xr:uid="{00000000-0005-0000-0000-000010000000}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2" tint="-0.49803155613879818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53216;&#54049;&#51068;&#51068;&#54032;&#47588;&#47049;/&#53216;&#54049;%20&#51068;&#51068;&#54032;&#47588;&#47049;%2008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8월 출고"/>
      <sheetName val="7월 출고"/>
      <sheetName val="6월 출고"/>
      <sheetName val="8월 입고"/>
      <sheetName val="7월 입고"/>
      <sheetName val="6월 입고"/>
      <sheetName val="월별 판매량 추이"/>
      <sheetName val="월별 입고량 추이"/>
      <sheetName val="2023.04"/>
    </sheetNames>
    <sheetDataSet>
      <sheetData sheetId="0">
        <row r="1">
          <cell r="B1">
            <v>1</v>
          </cell>
          <cell r="D1">
            <v>3</v>
          </cell>
          <cell r="E1">
            <v>37</v>
          </cell>
        </row>
        <row r="2">
          <cell r="B2" t="str">
            <v>신제품
(입고 3개월 이내)</v>
          </cell>
        </row>
        <row r="3">
          <cell r="D3">
            <v>32290</v>
          </cell>
          <cell r="E3">
            <v>18375577</v>
          </cell>
        </row>
        <row r="4">
          <cell r="B4" t="str">
            <v>SKU ID</v>
          </cell>
          <cell r="C4" t="str">
            <v>SKU명</v>
          </cell>
          <cell r="D4" t="str">
            <v>현재고</v>
          </cell>
          <cell r="E4" t="str">
            <v>공급가
(+VAT)</v>
          </cell>
        </row>
        <row r="5">
          <cell r="B5">
            <v>12846215</v>
          </cell>
          <cell r="C5" t="str">
            <v>오아클린이워터B</v>
          </cell>
          <cell r="D5">
            <v>2679</v>
          </cell>
          <cell r="E5">
            <v>26666</v>
          </cell>
        </row>
        <row r="6">
          <cell r="B6">
            <v>58716097</v>
          </cell>
          <cell r="C6" t="str">
            <v>오아아이스볼트맥스-베이지</v>
          </cell>
          <cell r="D6">
            <v>1340</v>
          </cell>
          <cell r="E6">
            <v>19966</v>
          </cell>
        </row>
        <row r="7">
          <cell r="B7">
            <v>11671480</v>
          </cell>
          <cell r="C7" t="str">
            <v>오아 클린이 소프트 칫솔모 2Px2 화이트</v>
          </cell>
          <cell r="D7">
            <v>1011</v>
          </cell>
          <cell r="E7">
            <v>5963</v>
          </cell>
        </row>
        <row r="8">
          <cell r="B8">
            <v>73893263</v>
          </cell>
          <cell r="C8" t="str">
            <v>보아르이지전기포트M1(FV)-아이보리</v>
          </cell>
          <cell r="D8">
            <v>268</v>
          </cell>
          <cell r="E8">
            <v>34362</v>
          </cell>
        </row>
        <row r="9">
          <cell r="B9">
            <v>35137369</v>
          </cell>
          <cell r="C9" t="str">
            <v>오아라운드멀티팬</v>
          </cell>
          <cell r="D9">
            <v>396</v>
          </cell>
          <cell r="E9">
            <v>17112</v>
          </cell>
        </row>
        <row r="10">
          <cell r="B10">
            <v>72828734</v>
          </cell>
          <cell r="C10" t="str">
            <v>오아컴팩트쿨맥스-포그밀크</v>
          </cell>
          <cell r="D10">
            <v>697</v>
          </cell>
          <cell r="E10">
            <v>17181</v>
          </cell>
        </row>
        <row r="11">
          <cell r="B11">
            <v>74693807</v>
          </cell>
          <cell r="C11" t="str">
            <v>보아르이지전기포트M1(FV)-그레이</v>
          </cell>
          <cell r="D11">
            <v>240</v>
          </cell>
          <cell r="E11">
            <v>34362</v>
          </cell>
        </row>
        <row r="12">
          <cell r="B12">
            <v>23200605</v>
          </cell>
          <cell r="C12" t="str">
            <v>오아스퀘어미니선풍기-베이지</v>
          </cell>
          <cell r="D12">
            <v>904</v>
          </cell>
          <cell r="E12">
            <v>13333</v>
          </cell>
        </row>
        <row r="13">
          <cell r="B13">
            <v>12434130</v>
          </cell>
          <cell r="C13" t="str">
            <v>오아 클린이소프트 칫솔모 2Px2 블랙</v>
          </cell>
          <cell r="D13">
            <v>885</v>
          </cell>
          <cell r="E13">
            <v>5963</v>
          </cell>
        </row>
        <row r="14">
          <cell r="B14">
            <v>18928667</v>
          </cell>
          <cell r="C14" t="str">
            <v>오아클린이퓨어Pro-화이트</v>
          </cell>
          <cell r="D14">
            <v>590</v>
          </cell>
          <cell r="E14">
            <v>15946</v>
          </cell>
        </row>
        <row r="15">
          <cell r="B15">
            <v>71173111</v>
          </cell>
          <cell r="C15" t="str">
            <v>오아아이스볼트미스트-포그밀크</v>
          </cell>
          <cell r="D15">
            <v>606</v>
          </cell>
          <cell r="E15">
            <v>26666</v>
          </cell>
        </row>
        <row r="16">
          <cell r="B16">
            <v>68466892</v>
          </cell>
          <cell r="C16" t="str">
            <v>오아퀵롤차저65W-포그밀크</v>
          </cell>
          <cell r="D16">
            <v>244</v>
          </cell>
          <cell r="E16">
            <v>15276</v>
          </cell>
        </row>
        <row r="17">
          <cell r="B17">
            <v>37161537</v>
          </cell>
          <cell r="C17" t="str">
            <v>보아르아가맘마쪽쪽이살균기</v>
          </cell>
          <cell r="D17">
            <v>248</v>
          </cell>
          <cell r="E17">
            <v>23940</v>
          </cell>
        </row>
        <row r="18">
          <cell r="B18">
            <v>52162444</v>
          </cell>
          <cell r="C18" t="str">
            <v>오아에어리소닉드라이기-베이지</v>
          </cell>
          <cell r="D18">
            <v>401</v>
          </cell>
          <cell r="E18">
            <v>43416</v>
          </cell>
        </row>
        <row r="19">
          <cell r="B19">
            <v>12585217</v>
          </cell>
          <cell r="C19" t="str">
            <v>보아르아이워시</v>
          </cell>
          <cell r="D19">
            <v>338</v>
          </cell>
          <cell r="E19">
            <v>33366</v>
          </cell>
        </row>
        <row r="20">
          <cell r="B20">
            <v>25321998</v>
          </cell>
          <cell r="C20" t="str">
            <v>오아넥쿨러프로선풍기-화이트</v>
          </cell>
          <cell r="D20">
            <v>81</v>
          </cell>
          <cell r="E20">
            <v>22043</v>
          </cell>
        </row>
        <row r="21">
          <cell r="B21">
            <v>71947627</v>
          </cell>
          <cell r="C21" t="str">
            <v>오아아이스볼트폴드-포그밀크</v>
          </cell>
          <cell r="D21">
            <v>239</v>
          </cell>
          <cell r="E21">
            <v>23383</v>
          </cell>
        </row>
        <row r="22">
          <cell r="B22">
            <v>23200603</v>
          </cell>
          <cell r="C22" t="str">
            <v>오아스퀘어미니선풍기-화이트</v>
          </cell>
          <cell r="D22">
            <v>718</v>
          </cell>
          <cell r="E22">
            <v>13333</v>
          </cell>
        </row>
        <row r="23">
          <cell r="B23">
            <v>60530655</v>
          </cell>
          <cell r="C23" t="str">
            <v>보아르에어로센이동식에어컨-화이트</v>
          </cell>
          <cell r="D23">
            <v>27</v>
          </cell>
          <cell r="E23">
            <v>220430</v>
          </cell>
        </row>
        <row r="24">
          <cell r="B24">
            <v>72828733</v>
          </cell>
          <cell r="C24" t="str">
            <v>오아컴팩트쿨맥스-클라우디블루</v>
          </cell>
          <cell r="D24">
            <v>451</v>
          </cell>
          <cell r="E24">
            <v>17181</v>
          </cell>
        </row>
        <row r="25">
          <cell r="B25">
            <v>15004955</v>
          </cell>
          <cell r="C25" t="str">
            <v>오아타프실링팬-화이트</v>
          </cell>
          <cell r="D25">
            <v>189</v>
          </cell>
          <cell r="E25">
            <v>23316</v>
          </cell>
        </row>
        <row r="26">
          <cell r="B26">
            <v>4152606</v>
          </cell>
          <cell r="C26" t="str">
            <v>오아아이브릭-카카오-딥우드</v>
          </cell>
          <cell r="D26">
            <v>141</v>
          </cell>
          <cell r="E26">
            <v>16616</v>
          </cell>
        </row>
        <row r="27">
          <cell r="B27">
            <v>66357977</v>
          </cell>
          <cell r="C27" t="str">
            <v>오아소닉플로우-베이지</v>
          </cell>
          <cell r="D27">
            <v>258</v>
          </cell>
          <cell r="E27">
            <v>33433</v>
          </cell>
        </row>
        <row r="28">
          <cell r="B28">
            <v>56183402</v>
          </cell>
          <cell r="C28" t="str">
            <v>오아듀얼히팅뷰러-화이트</v>
          </cell>
          <cell r="D28">
            <v>384</v>
          </cell>
          <cell r="E28">
            <v>18693</v>
          </cell>
        </row>
        <row r="29">
          <cell r="B29">
            <v>72300747</v>
          </cell>
          <cell r="C29" t="str">
            <v>오아바디팬맥스-포그밀크</v>
          </cell>
          <cell r="D29">
            <v>48</v>
          </cell>
          <cell r="E29">
            <v>19966</v>
          </cell>
        </row>
        <row r="30">
          <cell r="B30">
            <v>25321996</v>
          </cell>
          <cell r="C30" t="str">
            <v>오아넥쿨러프로선풍기-베이지</v>
          </cell>
          <cell r="D30">
            <v>52</v>
          </cell>
          <cell r="E30">
            <v>22043</v>
          </cell>
        </row>
        <row r="31">
          <cell r="B31">
            <v>38312169</v>
          </cell>
          <cell r="C31" t="str">
            <v>오아뿌리볼륨고데기-블랙</v>
          </cell>
          <cell r="D31">
            <v>265</v>
          </cell>
          <cell r="E31">
            <v>23316</v>
          </cell>
        </row>
        <row r="32">
          <cell r="B32">
            <v>69040158</v>
          </cell>
          <cell r="C32" t="str">
            <v>오아퀵롤차저65W-어비스블랙</v>
          </cell>
          <cell r="D32">
            <v>43</v>
          </cell>
          <cell r="E32">
            <v>15276</v>
          </cell>
        </row>
        <row r="33">
          <cell r="B33">
            <v>68938743</v>
          </cell>
          <cell r="C33" t="str">
            <v>오아프리온무선고데기-핑크</v>
          </cell>
          <cell r="D33">
            <v>302</v>
          </cell>
          <cell r="E33">
            <v>33433</v>
          </cell>
        </row>
        <row r="34">
          <cell r="B34">
            <v>69772629</v>
          </cell>
          <cell r="C34" t="str">
            <v>오아클린이워터B-UV-포그밀크</v>
          </cell>
          <cell r="D34">
            <v>316</v>
          </cell>
          <cell r="E34">
            <v>29413</v>
          </cell>
        </row>
        <row r="35">
          <cell r="B35">
            <v>72699935</v>
          </cell>
          <cell r="C35" t="str">
            <v>오아에어쿨핸디맥스-포그밀크</v>
          </cell>
          <cell r="D35">
            <v>105</v>
          </cell>
          <cell r="E35">
            <v>15801</v>
          </cell>
        </row>
        <row r="36">
          <cell r="B36">
            <v>34320929</v>
          </cell>
          <cell r="C36" t="str">
            <v>오아라운드미니선풍기-베이지</v>
          </cell>
          <cell r="D36">
            <v>148</v>
          </cell>
          <cell r="E36">
            <v>16013</v>
          </cell>
        </row>
        <row r="37">
          <cell r="B37">
            <v>26426530</v>
          </cell>
          <cell r="C37" t="str">
            <v>오아쿠션안마기</v>
          </cell>
          <cell r="D37">
            <v>196</v>
          </cell>
          <cell r="E37">
            <v>21976</v>
          </cell>
        </row>
        <row r="38">
          <cell r="B38">
            <v>47936724</v>
          </cell>
          <cell r="C38" t="str">
            <v>오아에어리소닉드라이기-핑크</v>
          </cell>
          <cell r="D38">
            <v>197</v>
          </cell>
          <cell r="E38">
            <v>43416</v>
          </cell>
        </row>
        <row r="39">
          <cell r="B39">
            <v>51016959</v>
          </cell>
          <cell r="C39" t="str">
            <v>오아접이식블루투스키보드-메탈그레이</v>
          </cell>
          <cell r="D39">
            <v>163</v>
          </cell>
          <cell r="E39">
            <v>25326</v>
          </cell>
        </row>
        <row r="40">
          <cell r="B40">
            <v>73956459</v>
          </cell>
          <cell r="C40" t="str">
            <v>오아워터쉴드넥-포그밀크</v>
          </cell>
          <cell r="D40">
            <v>93</v>
          </cell>
          <cell r="E40">
            <v>6072</v>
          </cell>
        </row>
        <row r="41">
          <cell r="B41">
            <v>4125377</v>
          </cell>
          <cell r="C41" t="str">
            <v>오아슬리머-브라운</v>
          </cell>
          <cell r="D41">
            <v>205</v>
          </cell>
          <cell r="E41">
            <v>21976</v>
          </cell>
        </row>
        <row r="42">
          <cell r="B42">
            <v>73461995</v>
          </cell>
          <cell r="C42" t="str">
            <v>오아클린이워터J2-포그밀크</v>
          </cell>
          <cell r="D42">
            <v>107</v>
          </cell>
          <cell r="E42">
            <v>20033</v>
          </cell>
        </row>
        <row r="43">
          <cell r="B43">
            <v>13473750</v>
          </cell>
          <cell r="C43" t="str">
            <v>오아클린이워터F</v>
          </cell>
          <cell r="D43">
            <v>68</v>
          </cell>
          <cell r="E43">
            <v>33366</v>
          </cell>
        </row>
        <row r="44">
          <cell r="B44">
            <v>59056260</v>
          </cell>
          <cell r="C44" t="str">
            <v>보아르폴더블휴대용전기포트-화이트</v>
          </cell>
          <cell r="D44">
            <v>231</v>
          </cell>
          <cell r="E44">
            <v>26733</v>
          </cell>
        </row>
        <row r="45">
          <cell r="B45">
            <v>51989601</v>
          </cell>
          <cell r="C45" t="str">
            <v>오아클린이워터전용5종팁세트-(B/B-UV/D/F/Z)</v>
          </cell>
          <cell r="D45">
            <v>121</v>
          </cell>
          <cell r="E45">
            <v>5963</v>
          </cell>
        </row>
        <row r="46">
          <cell r="B46">
            <v>13959023</v>
          </cell>
          <cell r="C46" t="str">
            <v>오아물결고데기</v>
          </cell>
          <cell r="D46">
            <v>206</v>
          </cell>
          <cell r="E46">
            <v>26666</v>
          </cell>
        </row>
        <row r="47">
          <cell r="B47">
            <v>55357095</v>
          </cell>
          <cell r="C47" t="str">
            <v>오아클린이포터블-화이트</v>
          </cell>
          <cell r="D47">
            <v>243</v>
          </cell>
          <cell r="E47">
            <v>26666</v>
          </cell>
        </row>
        <row r="48">
          <cell r="B48">
            <v>56896464</v>
          </cell>
          <cell r="C48" t="str">
            <v>보아르이지전기포트C(FV)-아이보리</v>
          </cell>
          <cell r="D48">
            <v>120</v>
          </cell>
          <cell r="E48">
            <v>38793</v>
          </cell>
        </row>
        <row r="49">
          <cell r="B49">
            <v>11229298</v>
          </cell>
          <cell r="C49" t="str">
            <v>오아눈편한세상</v>
          </cell>
          <cell r="D49">
            <v>174</v>
          </cell>
          <cell r="E49">
            <v>23316</v>
          </cell>
        </row>
        <row r="50">
          <cell r="B50">
            <v>50326931</v>
          </cell>
          <cell r="C50" t="str">
            <v>오아오토고데기40mm-퍼플</v>
          </cell>
          <cell r="D50">
            <v>198</v>
          </cell>
          <cell r="E50">
            <v>36046</v>
          </cell>
        </row>
        <row r="51">
          <cell r="B51">
            <v>10727917</v>
          </cell>
          <cell r="C51" t="str">
            <v>보아르혼요멀티쿠커-화이트</v>
          </cell>
          <cell r="D51">
            <v>221</v>
          </cell>
          <cell r="E51">
            <v>33366</v>
          </cell>
        </row>
        <row r="52">
          <cell r="B52">
            <v>71291488</v>
          </cell>
          <cell r="C52" t="str">
            <v>오아베이직선풍기-샌드크림</v>
          </cell>
          <cell r="D52">
            <v>1123</v>
          </cell>
          <cell r="E52">
            <v>27531</v>
          </cell>
        </row>
        <row r="53">
          <cell r="B53">
            <v>11671481</v>
          </cell>
          <cell r="C53" t="str">
            <v>오아클린이소프트-화이트</v>
          </cell>
          <cell r="D53">
            <v>160</v>
          </cell>
          <cell r="E53">
            <v>24656</v>
          </cell>
        </row>
        <row r="54">
          <cell r="B54">
            <v>4152608</v>
          </cell>
          <cell r="C54" t="str">
            <v>오아아이브릭-카카오-골든우드</v>
          </cell>
          <cell r="D54">
            <v>172</v>
          </cell>
          <cell r="E54">
            <v>16616</v>
          </cell>
        </row>
        <row r="55">
          <cell r="B55">
            <v>14134779</v>
          </cell>
          <cell r="C55" t="str">
            <v>오아 클린이소프트 미세모 2Px2 화이트</v>
          </cell>
          <cell r="D55">
            <v>189</v>
          </cell>
          <cell r="E55">
            <v>7638</v>
          </cell>
        </row>
        <row r="56">
          <cell r="B56">
            <v>65081124</v>
          </cell>
          <cell r="C56" t="str">
            <v>오아듀얼히팅뷰러-핑크</v>
          </cell>
          <cell r="D56">
            <v>180</v>
          </cell>
          <cell r="E56">
            <v>18693</v>
          </cell>
        </row>
        <row r="57">
          <cell r="B57">
            <v>42265154</v>
          </cell>
          <cell r="C57" t="str">
            <v>오아모던LED시계R</v>
          </cell>
          <cell r="D57">
            <v>72</v>
          </cell>
          <cell r="E57">
            <v>48685</v>
          </cell>
        </row>
        <row r="58">
          <cell r="B58">
            <v>34320928</v>
          </cell>
          <cell r="C58" t="str">
            <v>오아라운드미니선풍기-화이트</v>
          </cell>
          <cell r="D58">
            <v>137</v>
          </cell>
          <cell r="E58">
            <v>16013</v>
          </cell>
        </row>
        <row r="59">
          <cell r="B59">
            <v>58987730</v>
          </cell>
          <cell r="C59" t="str">
            <v>오아UV렌즈세척기-아이보리</v>
          </cell>
          <cell r="D59">
            <v>81</v>
          </cell>
          <cell r="E59">
            <v>26334</v>
          </cell>
        </row>
        <row r="60">
          <cell r="B60">
            <v>71156871</v>
          </cell>
          <cell r="C60" t="str">
            <v>오아아이스넥밴드선풍기-포그밀크</v>
          </cell>
          <cell r="D60">
            <v>47</v>
          </cell>
          <cell r="E60">
            <v>20033</v>
          </cell>
        </row>
        <row r="61">
          <cell r="B61">
            <v>64214259</v>
          </cell>
          <cell r="C61" t="str">
            <v>오아히트스팟S-블랙</v>
          </cell>
          <cell r="D61">
            <v>192</v>
          </cell>
          <cell r="E61">
            <v>32093</v>
          </cell>
        </row>
        <row r="62">
          <cell r="B62">
            <v>38455497</v>
          </cell>
          <cell r="C62" t="str">
            <v>보아르아가홀스스프링카</v>
          </cell>
          <cell r="D62">
            <v>67</v>
          </cell>
          <cell r="E62">
            <v>75760</v>
          </cell>
        </row>
        <row r="63">
          <cell r="B63">
            <v>10855225</v>
          </cell>
          <cell r="C63" t="str">
            <v>오아듀얼미스트무선가습기</v>
          </cell>
          <cell r="D63">
            <v>200</v>
          </cell>
          <cell r="E63">
            <v>19966</v>
          </cell>
        </row>
        <row r="64">
          <cell r="B64">
            <v>12362063</v>
          </cell>
          <cell r="C64" t="str">
            <v>보아르에이블듀얼오븐에어프라이어23L-실버</v>
          </cell>
          <cell r="D64">
            <v>74</v>
          </cell>
          <cell r="E64">
            <v>92460</v>
          </cell>
        </row>
        <row r="65">
          <cell r="B65">
            <v>46671749</v>
          </cell>
          <cell r="C65" t="str">
            <v>오아에어쿨핸디</v>
          </cell>
          <cell r="D65">
            <v>87</v>
          </cell>
          <cell r="E65">
            <v>17286</v>
          </cell>
        </row>
        <row r="66">
          <cell r="B66">
            <v>45342904</v>
          </cell>
          <cell r="C66" t="str">
            <v>보아르컴플릿20L쓰레기통-베이지</v>
          </cell>
          <cell r="D66">
            <v>74</v>
          </cell>
          <cell r="E66">
            <v>33932</v>
          </cell>
        </row>
        <row r="67">
          <cell r="B67">
            <v>72699936</v>
          </cell>
          <cell r="C67" t="str">
            <v>오아에어쿨핸디맥스-코튼핑크</v>
          </cell>
          <cell r="D67">
            <v>343</v>
          </cell>
          <cell r="E67">
            <v>15801</v>
          </cell>
        </row>
        <row r="68">
          <cell r="B68">
            <v>27303665</v>
          </cell>
          <cell r="C68" t="str">
            <v>오아무드스탠드</v>
          </cell>
          <cell r="D68">
            <v>80</v>
          </cell>
          <cell r="E68">
            <v>34200</v>
          </cell>
        </row>
        <row r="69">
          <cell r="B69">
            <v>18291047</v>
          </cell>
          <cell r="C69" t="str">
            <v>보아르아가맘마보틀워머</v>
          </cell>
          <cell r="D69">
            <v>142</v>
          </cell>
          <cell r="E69">
            <v>38726</v>
          </cell>
        </row>
        <row r="70">
          <cell r="B70">
            <v>64778162</v>
          </cell>
          <cell r="C70" t="str">
            <v>오아베이직빗고데기(FV)-베이지</v>
          </cell>
          <cell r="D70">
            <v>140</v>
          </cell>
          <cell r="E70">
            <v>20033</v>
          </cell>
        </row>
        <row r="71">
          <cell r="B71">
            <v>46191377</v>
          </cell>
          <cell r="C71" t="str">
            <v>오아슈퍼젯핸디팬</v>
          </cell>
          <cell r="D71">
            <v>111</v>
          </cell>
          <cell r="E71">
            <v>19966</v>
          </cell>
        </row>
        <row r="72">
          <cell r="B72">
            <v>68253037</v>
          </cell>
          <cell r="C72" t="str">
            <v>오아에어리미니-블루</v>
          </cell>
          <cell r="D72">
            <v>79</v>
          </cell>
          <cell r="E72">
            <v>30083</v>
          </cell>
        </row>
        <row r="73">
          <cell r="B73">
            <v>50723598</v>
          </cell>
          <cell r="C73" t="str">
            <v>보아르슈즈쏙-화이트</v>
          </cell>
          <cell r="D73">
            <v>71</v>
          </cell>
          <cell r="E73">
            <v>26733</v>
          </cell>
        </row>
        <row r="74">
          <cell r="B74">
            <v>12465755</v>
          </cell>
          <cell r="C74" t="str">
            <v>오아클린이소프트-블랙</v>
          </cell>
          <cell r="D74">
            <v>34</v>
          </cell>
          <cell r="E74">
            <v>24656</v>
          </cell>
        </row>
        <row r="75">
          <cell r="B75">
            <v>46962408</v>
          </cell>
          <cell r="C75" t="str">
            <v>오아울트라젯핸디팬</v>
          </cell>
          <cell r="D75">
            <v>48</v>
          </cell>
          <cell r="E75">
            <v>59630</v>
          </cell>
        </row>
        <row r="76">
          <cell r="B76">
            <v>59932138</v>
          </cell>
          <cell r="C76" t="str">
            <v>보아르이지텀블렌더-아이보리</v>
          </cell>
          <cell r="D76">
            <v>52</v>
          </cell>
          <cell r="E76">
            <v>24723</v>
          </cell>
        </row>
        <row r="77">
          <cell r="B77">
            <v>34318450</v>
          </cell>
          <cell r="C77" t="str">
            <v>오아라운드선풍기</v>
          </cell>
          <cell r="D77">
            <v>232</v>
          </cell>
          <cell r="E77">
            <v>32026</v>
          </cell>
        </row>
        <row r="78">
          <cell r="B78">
            <v>27056005</v>
          </cell>
          <cell r="C78" t="str">
            <v>보아르워시스핀C</v>
          </cell>
          <cell r="D78">
            <v>44</v>
          </cell>
          <cell r="E78">
            <v>16616</v>
          </cell>
        </row>
        <row r="79">
          <cell r="B79">
            <v>75741354</v>
          </cell>
          <cell r="C79" t="str">
            <v>오아에어리소닉드라이기-화이트</v>
          </cell>
          <cell r="D79">
            <v>89</v>
          </cell>
          <cell r="E79">
            <v>43416</v>
          </cell>
        </row>
        <row r="80">
          <cell r="B80">
            <v>62499786</v>
          </cell>
          <cell r="C80" t="str">
            <v>오아큐브멀티탭PD35-베이지</v>
          </cell>
          <cell r="D80">
            <v>1</v>
          </cell>
          <cell r="E80">
            <v>22043</v>
          </cell>
        </row>
        <row r="81">
          <cell r="B81">
            <v>53564659</v>
          </cell>
          <cell r="C81" t="str">
            <v>보아르투웨이텀블러-레인보우</v>
          </cell>
          <cell r="D81">
            <v>111</v>
          </cell>
          <cell r="E81">
            <v>14129</v>
          </cell>
        </row>
        <row r="82">
          <cell r="B82">
            <v>59944694</v>
          </cell>
          <cell r="C82" t="str">
            <v>오아쿨더마갈바닉-화이트</v>
          </cell>
          <cell r="D82">
            <v>65</v>
          </cell>
          <cell r="E82">
            <v>28743</v>
          </cell>
        </row>
        <row r="83">
          <cell r="B83">
            <v>73952843</v>
          </cell>
          <cell r="C83" t="str">
            <v>오아워터쉴드크로스-투명</v>
          </cell>
          <cell r="D83">
            <v>42</v>
          </cell>
          <cell r="E83">
            <v>10212</v>
          </cell>
        </row>
        <row r="84">
          <cell r="B84">
            <v>70251147</v>
          </cell>
          <cell r="C84" t="str">
            <v>보아르이지업텀블렌더-아이보리</v>
          </cell>
          <cell r="D84">
            <v>56</v>
          </cell>
          <cell r="E84">
            <v>30083</v>
          </cell>
        </row>
        <row r="85">
          <cell r="B85">
            <v>27011098</v>
          </cell>
          <cell r="C85" t="str">
            <v>오아이지봉고데기-화이트</v>
          </cell>
          <cell r="D85">
            <v>136</v>
          </cell>
          <cell r="E85">
            <v>26666</v>
          </cell>
        </row>
        <row r="86">
          <cell r="B86">
            <v>64212543</v>
          </cell>
          <cell r="C86" t="str">
            <v>오아무선고데기-베이지</v>
          </cell>
          <cell r="D86">
            <v>54</v>
          </cell>
          <cell r="E86">
            <v>26666</v>
          </cell>
        </row>
        <row r="87">
          <cell r="B87">
            <v>69772627</v>
          </cell>
          <cell r="C87" t="str">
            <v>오아클린이워터B-UV-차콜스톤</v>
          </cell>
          <cell r="D87">
            <v>86</v>
          </cell>
          <cell r="E87">
            <v>29413</v>
          </cell>
        </row>
        <row r="88">
          <cell r="B88">
            <v>41864123</v>
          </cell>
          <cell r="C88" t="str">
            <v>오아뮤즈S마이크</v>
          </cell>
          <cell r="D88">
            <v>110</v>
          </cell>
          <cell r="E88">
            <v>19966</v>
          </cell>
        </row>
        <row r="89">
          <cell r="B89">
            <v>34330469</v>
          </cell>
          <cell r="C89" t="str">
            <v>오아라운드핸디팬</v>
          </cell>
          <cell r="D89">
            <v>20</v>
          </cell>
          <cell r="E89">
            <v>11256</v>
          </cell>
        </row>
        <row r="90">
          <cell r="B90">
            <v>14134778</v>
          </cell>
          <cell r="C90" t="str">
            <v>오아 클린이소프트 미세모 2Px2 블랙</v>
          </cell>
          <cell r="D90">
            <v>46</v>
          </cell>
          <cell r="E90">
            <v>7638</v>
          </cell>
        </row>
        <row r="91">
          <cell r="B91">
            <v>47220150</v>
          </cell>
          <cell r="C91" t="str">
            <v>오아듀얼랜턴걸이</v>
          </cell>
          <cell r="D91">
            <v>45</v>
          </cell>
          <cell r="E91">
            <v>12900</v>
          </cell>
        </row>
        <row r="92">
          <cell r="B92">
            <v>12674973</v>
          </cell>
          <cell r="C92" t="str">
            <v>오아클린이소프트B-화이트</v>
          </cell>
          <cell r="D92">
            <v>69</v>
          </cell>
          <cell r="E92">
            <v>22646</v>
          </cell>
        </row>
        <row r="93">
          <cell r="B93">
            <v>44916947</v>
          </cell>
          <cell r="C93" t="str">
            <v>오아바디건</v>
          </cell>
          <cell r="D93">
            <v>38</v>
          </cell>
          <cell r="E93">
            <v>22713</v>
          </cell>
        </row>
        <row r="94">
          <cell r="B94">
            <v>64330309</v>
          </cell>
          <cell r="C94" t="str">
            <v>보아르이지미니쿠커-아이보리</v>
          </cell>
          <cell r="D94">
            <v>109</v>
          </cell>
          <cell r="E94">
            <v>40133</v>
          </cell>
        </row>
        <row r="95">
          <cell r="B95">
            <v>62375802</v>
          </cell>
          <cell r="C95" t="str">
            <v>오아클린이스윙-화이트</v>
          </cell>
          <cell r="D95">
            <v>107</v>
          </cell>
          <cell r="E95">
            <v>26733</v>
          </cell>
        </row>
        <row r="96">
          <cell r="B96">
            <v>69767288</v>
          </cell>
          <cell r="C96" t="str">
            <v>보아르비드틱S-블랙</v>
          </cell>
          <cell r="D96">
            <v>91</v>
          </cell>
          <cell r="E96">
            <v>66330</v>
          </cell>
        </row>
        <row r="97">
          <cell r="B97">
            <v>64808932</v>
          </cell>
          <cell r="C97" t="str">
            <v>오아심플리고데기-아이보리</v>
          </cell>
          <cell r="D97">
            <v>59</v>
          </cell>
          <cell r="E97">
            <v>18693</v>
          </cell>
        </row>
        <row r="98">
          <cell r="B98">
            <v>34464589</v>
          </cell>
          <cell r="C98" t="str">
            <v>오아라운드Pro선풍기-베이지</v>
          </cell>
          <cell r="D98">
            <v>23</v>
          </cell>
          <cell r="E98">
            <v>86430</v>
          </cell>
        </row>
        <row r="99">
          <cell r="B99">
            <v>69039437</v>
          </cell>
          <cell r="C99" t="str">
            <v>오아소닉플로우-핑크</v>
          </cell>
          <cell r="D99">
            <v>77</v>
          </cell>
          <cell r="E99">
            <v>33433</v>
          </cell>
        </row>
        <row r="100">
          <cell r="B100">
            <v>71030052</v>
          </cell>
          <cell r="C100" t="str">
            <v>오아데이클락-베이지</v>
          </cell>
          <cell r="D100">
            <v>61</v>
          </cell>
          <cell r="E100">
            <v>50853</v>
          </cell>
        </row>
        <row r="101">
          <cell r="B101">
            <v>72182444</v>
          </cell>
          <cell r="C101" t="str">
            <v>오아메가에어라이트-샌드크림</v>
          </cell>
          <cell r="D101">
            <v>69</v>
          </cell>
          <cell r="E101">
            <v>64990</v>
          </cell>
        </row>
        <row r="102">
          <cell r="B102">
            <v>55357155</v>
          </cell>
          <cell r="C102" t="str">
            <v>오아클린이워터J-화이트</v>
          </cell>
          <cell r="D102">
            <v>59</v>
          </cell>
          <cell r="E102">
            <v>25393</v>
          </cell>
        </row>
        <row r="103">
          <cell r="B103">
            <v>14218803</v>
          </cell>
          <cell r="C103" t="str">
            <v>오아클린이베어-핑크</v>
          </cell>
          <cell r="D103">
            <v>47</v>
          </cell>
          <cell r="E103">
            <v>16281</v>
          </cell>
        </row>
        <row r="104">
          <cell r="B104">
            <v>67191572</v>
          </cell>
          <cell r="C104" t="str">
            <v>오아볼트건-블랙</v>
          </cell>
          <cell r="D104">
            <v>31</v>
          </cell>
          <cell r="E104">
            <v>26733</v>
          </cell>
        </row>
        <row r="105">
          <cell r="B105">
            <v>60085614</v>
          </cell>
          <cell r="C105" t="str">
            <v>오아무선뿌리볼륨고데기5000-베이지</v>
          </cell>
          <cell r="D105">
            <v>31</v>
          </cell>
          <cell r="E105">
            <v>26733</v>
          </cell>
        </row>
        <row r="106">
          <cell r="B106">
            <v>46727700</v>
          </cell>
          <cell r="C106" t="str">
            <v>보아르다이닝멀티찜기</v>
          </cell>
          <cell r="D106">
            <v>27</v>
          </cell>
          <cell r="E106">
            <v>51590</v>
          </cell>
        </row>
        <row r="107">
          <cell r="B107">
            <v>60450424</v>
          </cell>
          <cell r="C107" t="str">
            <v>보아르투웨이텀블러-민트</v>
          </cell>
          <cell r="D107">
            <v>151</v>
          </cell>
          <cell r="E107">
            <v>14129</v>
          </cell>
        </row>
        <row r="108">
          <cell r="B108">
            <v>69772625</v>
          </cell>
          <cell r="C108" t="str">
            <v>오아클린이워터B-UV-클라우디블루</v>
          </cell>
          <cell r="D108">
            <v>82</v>
          </cell>
          <cell r="E108">
            <v>29413</v>
          </cell>
        </row>
        <row r="109">
          <cell r="B109">
            <v>8668649</v>
          </cell>
          <cell r="C109" t="str">
            <v>보아르모아M600</v>
          </cell>
          <cell r="D109">
            <v>170</v>
          </cell>
          <cell r="E109">
            <v>36783</v>
          </cell>
        </row>
        <row r="110">
          <cell r="B110">
            <v>10155238</v>
          </cell>
          <cell r="C110" t="str">
            <v>보아르모아M1000</v>
          </cell>
          <cell r="D110">
            <v>87</v>
          </cell>
          <cell r="E110">
            <v>60720</v>
          </cell>
        </row>
        <row r="111">
          <cell r="B111">
            <v>64212381</v>
          </cell>
          <cell r="C111" t="str">
            <v>오아오토고데기36MM-블루</v>
          </cell>
          <cell r="D111">
            <v>37</v>
          </cell>
          <cell r="E111">
            <v>36783</v>
          </cell>
        </row>
        <row r="112">
          <cell r="B112">
            <v>56651667</v>
          </cell>
          <cell r="C112" t="str">
            <v>오아볼륨업무선빗고데기-화이트</v>
          </cell>
          <cell r="D112">
            <v>112</v>
          </cell>
          <cell r="E112">
            <v>33366</v>
          </cell>
        </row>
        <row r="113">
          <cell r="B113">
            <v>5332788</v>
          </cell>
          <cell r="C113" t="str">
            <v>오아접이식블루투스키보드-블랙</v>
          </cell>
          <cell r="D113">
            <v>120</v>
          </cell>
          <cell r="E113">
            <v>25326</v>
          </cell>
        </row>
        <row r="114">
          <cell r="B114">
            <v>37244806</v>
          </cell>
          <cell r="C114" t="str">
            <v>오아이지봉고데기-핑크</v>
          </cell>
          <cell r="D114">
            <v>36</v>
          </cell>
          <cell r="E114">
            <v>26666</v>
          </cell>
        </row>
        <row r="115">
          <cell r="B115">
            <v>64214258</v>
          </cell>
          <cell r="C115" t="str">
            <v>오아히트스팟S-베이지</v>
          </cell>
          <cell r="D115">
            <v>73</v>
          </cell>
          <cell r="E115">
            <v>32093</v>
          </cell>
        </row>
        <row r="116">
          <cell r="B116">
            <v>73316684</v>
          </cell>
          <cell r="C116" t="str">
            <v>보아르투웨이폴든텀블러-민트</v>
          </cell>
          <cell r="D116">
            <v>37</v>
          </cell>
          <cell r="E116">
            <v>23359</v>
          </cell>
        </row>
        <row r="117">
          <cell r="B117">
            <v>64789478</v>
          </cell>
          <cell r="C117" t="str">
            <v>오아무선모던LED시계R-베이지</v>
          </cell>
          <cell r="D117">
            <v>60</v>
          </cell>
          <cell r="E117">
            <v>59360</v>
          </cell>
        </row>
        <row r="118">
          <cell r="B118">
            <v>12846219</v>
          </cell>
          <cell r="C118" t="str">
            <v>오아클린이워터D</v>
          </cell>
          <cell r="D118">
            <v>64</v>
          </cell>
          <cell r="E118">
            <v>29346</v>
          </cell>
        </row>
        <row r="119">
          <cell r="B119">
            <v>15462869</v>
          </cell>
          <cell r="C119" t="str">
            <v>오아바디팬-네이비</v>
          </cell>
          <cell r="D119">
            <v>29</v>
          </cell>
          <cell r="E119">
            <v>19966</v>
          </cell>
        </row>
        <row r="120">
          <cell r="B120">
            <v>38417806</v>
          </cell>
          <cell r="C120" t="str">
            <v>오아오토고데기32mm-베이지</v>
          </cell>
          <cell r="D120">
            <v>57</v>
          </cell>
          <cell r="E120">
            <v>36716</v>
          </cell>
        </row>
        <row r="121">
          <cell r="B121">
            <v>19104731</v>
          </cell>
          <cell r="C121" t="str">
            <v>보아르더온리제로</v>
          </cell>
          <cell r="D121">
            <v>54</v>
          </cell>
          <cell r="E121">
            <v>46766</v>
          </cell>
        </row>
        <row r="122">
          <cell r="B122">
            <v>40771157</v>
          </cell>
          <cell r="C122" t="str">
            <v>보아르아가맘마퓨어분유포트</v>
          </cell>
          <cell r="D122">
            <v>54</v>
          </cell>
          <cell r="E122">
            <v>46230</v>
          </cell>
        </row>
        <row r="123">
          <cell r="B123">
            <v>46550390</v>
          </cell>
          <cell r="C123" t="str">
            <v>오아터보젯핸디팬</v>
          </cell>
          <cell r="D123">
            <v>90</v>
          </cell>
          <cell r="E123">
            <v>33366</v>
          </cell>
        </row>
        <row r="124">
          <cell r="B124">
            <v>14218802</v>
          </cell>
          <cell r="C124" t="str">
            <v>오아클린이베어-블루</v>
          </cell>
          <cell r="D124">
            <v>39</v>
          </cell>
          <cell r="E124">
            <v>16281</v>
          </cell>
        </row>
        <row r="125">
          <cell r="B125">
            <v>69766464</v>
          </cell>
          <cell r="C125" t="str">
            <v>오아큐브멀티탭PD35-클라우디블루</v>
          </cell>
          <cell r="D125">
            <v>2</v>
          </cell>
          <cell r="E125">
            <v>22043</v>
          </cell>
        </row>
        <row r="126">
          <cell r="B126">
            <v>69039778</v>
          </cell>
          <cell r="C126" t="str">
            <v>오아소닉플로우-그레이</v>
          </cell>
          <cell r="D126">
            <v>47</v>
          </cell>
          <cell r="E126">
            <v>33433</v>
          </cell>
        </row>
        <row r="127">
          <cell r="B127">
            <v>12263163</v>
          </cell>
          <cell r="C127" t="str">
            <v>오아데일리고데기</v>
          </cell>
          <cell r="D127">
            <v>95</v>
          </cell>
          <cell r="E127">
            <v>33366</v>
          </cell>
        </row>
        <row r="128">
          <cell r="B128">
            <v>69096296</v>
          </cell>
          <cell r="C128" t="str">
            <v>오아클린이퓨어Pro-코튼핑크</v>
          </cell>
          <cell r="D128">
            <v>61</v>
          </cell>
          <cell r="E128">
            <v>15946</v>
          </cell>
        </row>
        <row r="129">
          <cell r="B129">
            <v>43252471</v>
          </cell>
          <cell r="C129" t="str">
            <v>오아무선바디케어마사지기</v>
          </cell>
          <cell r="D129">
            <v>34</v>
          </cell>
          <cell r="E129">
            <v>32026</v>
          </cell>
        </row>
        <row r="130">
          <cell r="B130">
            <v>55384739</v>
          </cell>
          <cell r="C130" t="str">
            <v>오아클린이큐어-포터블전용제트팁2P</v>
          </cell>
          <cell r="D130">
            <v>19</v>
          </cell>
          <cell r="E130">
            <v>3618</v>
          </cell>
        </row>
        <row r="131">
          <cell r="B131">
            <v>12263239</v>
          </cell>
          <cell r="C131" t="str">
            <v>오아굿나잇온열안대</v>
          </cell>
          <cell r="D131">
            <v>6</v>
          </cell>
          <cell r="E131">
            <v>19966</v>
          </cell>
        </row>
        <row r="132">
          <cell r="B132">
            <v>32710937</v>
          </cell>
          <cell r="C132" t="str">
            <v>오아 클린이소프트 미세모 화이트 2P</v>
          </cell>
          <cell r="D132">
            <v>115</v>
          </cell>
          <cell r="E132">
            <v>4020</v>
          </cell>
        </row>
        <row r="133">
          <cell r="B133">
            <v>45573288</v>
          </cell>
          <cell r="C133" t="str">
            <v>오아턴에어pro탁상팬</v>
          </cell>
          <cell r="D133">
            <v>105</v>
          </cell>
          <cell r="E133">
            <v>30083</v>
          </cell>
        </row>
        <row r="134">
          <cell r="B134">
            <v>64212544</v>
          </cell>
          <cell r="C134" t="str">
            <v>오아무선고데기-블루</v>
          </cell>
          <cell r="D134">
            <v>21</v>
          </cell>
          <cell r="E134">
            <v>26666</v>
          </cell>
        </row>
        <row r="135">
          <cell r="B135">
            <v>73956460</v>
          </cell>
          <cell r="C135" t="str">
            <v>오아워터쉴드넥-어비스블랙</v>
          </cell>
          <cell r="D135">
            <v>83</v>
          </cell>
          <cell r="E135">
            <v>6072</v>
          </cell>
        </row>
        <row r="136">
          <cell r="B136">
            <v>69096297</v>
          </cell>
          <cell r="C136" t="str">
            <v>오아클린이퓨어Pro-클라우디블루</v>
          </cell>
          <cell r="D136">
            <v>131</v>
          </cell>
          <cell r="E136">
            <v>15946</v>
          </cell>
        </row>
        <row r="137">
          <cell r="B137">
            <v>60019261</v>
          </cell>
          <cell r="C137" t="str">
            <v>보아르엘레어탁상형선풍기-화이트</v>
          </cell>
          <cell r="D137">
            <v>179</v>
          </cell>
          <cell r="E137">
            <v>92460</v>
          </cell>
        </row>
        <row r="138">
          <cell r="B138">
            <v>5332789</v>
          </cell>
          <cell r="C138" t="str">
            <v>오아접이식블루투스키보드-화이트</v>
          </cell>
          <cell r="D138">
            <v>56</v>
          </cell>
          <cell r="E138">
            <v>25326</v>
          </cell>
        </row>
        <row r="139">
          <cell r="B139">
            <v>53569741</v>
          </cell>
          <cell r="C139" t="str">
            <v>보아르투웨이텀블러-블랙</v>
          </cell>
          <cell r="D139">
            <v>81</v>
          </cell>
          <cell r="E139">
            <v>14129</v>
          </cell>
        </row>
        <row r="140">
          <cell r="B140">
            <v>60084208</v>
          </cell>
          <cell r="C140" t="str">
            <v>오아라운드Pro선풍기-카키</v>
          </cell>
          <cell r="D140">
            <v>29</v>
          </cell>
          <cell r="E140">
            <v>86430</v>
          </cell>
        </row>
        <row r="141">
          <cell r="B141">
            <v>12775096</v>
          </cell>
          <cell r="C141" t="str">
            <v>오아 클린이소프트 블랙+화이트</v>
          </cell>
          <cell r="D141">
            <v>17</v>
          </cell>
          <cell r="E141">
            <v>46632</v>
          </cell>
        </row>
        <row r="142">
          <cell r="B142">
            <v>39663616</v>
          </cell>
          <cell r="C142" t="str">
            <v>오아클린이워터S-화이트</v>
          </cell>
          <cell r="D142">
            <v>39</v>
          </cell>
          <cell r="E142">
            <v>25326</v>
          </cell>
        </row>
        <row r="143">
          <cell r="B143">
            <v>12029130</v>
          </cell>
          <cell r="C143" t="str">
            <v>오아메가에어써큘레이터3-화이트</v>
          </cell>
          <cell r="D143">
            <v>18</v>
          </cell>
          <cell r="E143">
            <v>73030</v>
          </cell>
        </row>
        <row r="144">
          <cell r="B144">
            <v>37173787</v>
          </cell>
          <cell r="C144" t="str">
            <v>보아르허니즈백색소음기</v>
          </cell>
          <cell r="D144">
            <v>23</v>
          </cell>
          <cell r="E144">
            <v>23500</v>
          </cell>
        </row>
        <row r="145">
          <cell r="B145">
            <v>44374810</v>
          </cell>
          <cell r="C145" t="str">
            <v>보아르아띠랑스전기포트-베이지</v>
          </cell>
          <cell r="D145">
            <v>0</v>
          </cell>
          <cell r="E145">
            <v>25326</v>
          </cell>
        </row>
        <row r="146">
          <cell r="B146">
            <v>12674974</v>
          </cell>
          <cell r="C146" t="str">
            <v>오아클린이소프트B-블랙</v>
          </cell>
          <cell r="D146">
            <v>21</v>
          </cell>
          <cell r="E146">
            <v>22646</v>
          </cell>
        </row>
        <row r="147">
          <cell r="B147">
            <v>62378988</v>
          </cell>
          <cell r="C147" t="str">
            <v>오아클린이스윙-블랙</v>
          </cell>
          <cell r="D147">
            <v>42</v>
          </cell>
          <cell r="E147">
            <v>26733</v>
          </cell>
        </row>
        <row r="148">
          <cell r="B148">
            <v>13373616</v>
          </cell>
          <cell r="C148" t="str">
            <v>오아스마트체중계</v>
          </cell>
          <cell r="D148">
            <v>25</v>
          </cell>
          <cell r="E148">
            <v>16616</v>
          </cell>
        </row>
        <row r="149">
          <cell r="B149">
            <v>66546178</v>
          </cell>
          <cell r="C149" t="str">
            <v>오아폴딩풋스파-화이트</v>
          </cell>
          <cell r="D149">
            <v>18</v>
          </cell>
          <cell r="E149">
            <v>36716</v>
          </cell>
        </row>
        <row r="150">
          <cell r="B150">
            <v>74884452</v>
          </cell>
          <cell r="C150" t="str">
            <v>보아르모노반자동커피머신-화이트</v>
          </cell>
          <cell r="D150">
            <v>31</v>
          </cell>
          <cell r="E150">
            <v>82110</v>
          </cell>
        </row>
        <row r="151">
          <cell r="B151">
            <v>62498583</v>
          </cell>
          <cell r="C151" t="str">
            <v>오아큐브멀티탭PD35-그린</v>
          </cell>
          <cell r="D151">
            <v>0</v>
          </cell>
          <cell r="E151">
            <v>22043</v>
          </cell>
        </row>
        <row r="152">
          <cell r="B152">
            <v>66778787</v>
          </cell>
          <cell r="C152" t="str">
            <v>오아미니핏고데기-베이지</v>
          </cell>
          <cell r="D152">
            <v>63</v>
          </cell>
          <cell r="E152">
            <v>17353</v>
          </cell>
        </row>
        <row r="153">
          <cell r="B153">
            <v>64330763</v>
          </cell>
          <cell r="C153" t="str">
            <v>오아이지물결고데기-퍼플</v>
          </cell>
          <cell r="D153">
            <v>1</v>
          </cell>
          <cell r="E153">
            <v>30086</v>
          </cell>
        </row>
        <row r="154">
          <cell r="B154">
            <v>73975553</v>
          </cell>
          <cell r="C154" t="str">
            <v>오아워터쉴드크로스-어비스블랙</v>
          </cell>
          <cell r="D154">
            <v>6</v>
          </cell>
          <cell r="E154">
            <v>10212</v>
          </cell>
        </row>
        <row r="155">
          <cell r="B155">
            <v>10324264</v>
          </cell>
          <cell r="C155" t="str">
            <v>오아퓨어공기청정기-화이트</v>
          </cell>
          <cell r="D155">
            <v>30</v>
          </cell>
          <cell r="E155">
            <v>23316</v>
          </cell>
        </row>
        <row r="156">
          <cell r="B156">
            <v>17579394</v>
          </cell>
          <cell r="C156" t="str">
            <v>보아르딥슬립클링</v>
          </cell>
          <cell r="D156">
            <v>38</v>
          </cell>
          <cell r="E156">
            <v>33366</v>
          </cell>
        </row>
        <row r="157">
          <cell r="B157">
            <v>44581094</v>
          </cell>
          <cell r="C157" t="str">
            <v>오아몬스터L케이블</v>
          </cell>
          <cell r="D157">
            <v>42</v>
          </cell>
          <cell r="E157">
            <v>3886</v>
          </cell>
        </row>
        <row r="158">
          <cell r="B158">
            <v>70205079</v>
          </cell>
          <cell r="C158" t="str">
            <v>오아데이지오토고데기-아이보리</v>
          </cell>
          <cell r="D158">
            <v>28</v>
          </cell>
          <cell r="E158">
            <v>33433</v>
          </cell>
        </row>
        <row r="159">
          <cell r="B159">
            <v>73226633</v>
          </cell>
          <cell r="C159" t="str">
            <v>오아오마컬봉고데기40mm-핑크</v>
          </cell>
          <cell r="D159">
            <v>32</v>
          </cell>
          <cell r="E159">
            <v>30083</v>
          </cell>
        </row>
        <row r="160">
          <cell r="B160">
            <v>73523448</v>
          </cell>
          <cell r="C160" t="str">
            <v>오아퀵터보-포그밀크</v>
          </cell>
          <cell r="D160">
            <v>44</v>
          </cell>
          <cell r="E160">
            <v>32093</v>
          </cell>
        </row>
        <row r="161">
          <cell r="B161">
            <v>37843037</v>
          </cell>
          <cell r="C161" t="str">
            <v>오아클린이컴팩트</v>
          </cell>
          <cell r="D161">
            <v>24</v>
          </cell>
          <cell r="E161">
            <v>25326</v>
          </cell>
        </row>
        <row r="162">
          <cell r="B162">
            <v>3636926</v>
          </cell>
          <cell r="C162" t="str">
            <v>오아무드가습기1000</v>
          </cell>
          <cell r="D162">
            <v>7</v>
          </cell>
          <cell r="E162">
            <v>26666</v>
          </cell>
        </row>
        <row r="163">
          <cell r="B163">
            <v>64287980</v>
          </cell>
          <cell r="C163" t="str">
            <v>오아퀵듀오-베이지</v>
          </cell>
          <cell r="D163">
            <v>37</v>
          </cell>
          <cell r="E163">
            <v>23383</v>
          </cell>
        </row>
        <row r="164">
          <cell r="B164">
            <v>62221331</v>
          </cell>
          <cell r="C164" t="str">
            <v>보아르아가윈디유모차쿨시트-화이트</v>
          </cell>
          <cell r="D164">
            <v>1</v>
          </cell>
          <cell r="E164">
            <v>48100</v>
          </cell>
        </row>
        <row r="165">
          <cell r="B165">
            <v>74550323</v>
          </cell>
          <cell r="C165" t="str">
            <v>보아르엘레어pro선풍기-화이트</v>
          </cell>
          <cell r="D165">
            <v>355</v>
          </cell>
          <cell r="E165">
            <v>119930</v>
          </cell>
        </row>
        <row r="166">
          <cell r="B166">
            <v>60380162</v>
          </cell>
          <cell r="C166" t="str">
            <v>보아르투웨이텀블러-핑크</v>
          </cell>
          <cell r="D166">
            <v>88</v>
          </cell>
          <cell r="E166">
            <v>14129</v>
          </cell>
        </row>
        <row r="167">
          <cell r="B167">
            <v>44996967</v>
          </cell>
          <cell r="C167" t="str">
            <v>오아턴에어미니탁상팬</v>
          </cell>
          <cell r="D167">
            <v>34</v>
          </cell>
          <cell r="E167">
            <v>19966</v>
          </cell>
        </row>
        <row r="168">
          <cell r="B168">
            <v>48105600</v>
          </cell>
          <cell r="C168" t="str">
            <v>오아모던LED시계S</v>
          </cell>
          <cell r="D168">
            <v>30</v>
          </cell>
          <cell r="E168">
            <v>51935</v>
          </cell>
        </row>
        <row r="169">
          <cell r="B169">
            <v>42913903</v>
          </cell>
          <cell r="C169" t="str">
            <v>오아클래식LP플레이어</v>
          </cell>
          <cell r="D169">
            <v>46</v>
          </cell>
          <cell r="E169">
            <v>43416</v>
          </cell>
        </row>
        <row r="170">
          <cell r="B170">
            <v>63573761</v>
          </cell>
          <cell r="C170" t="str">
            <v>오아이지물결고데기-베이지</v>
          </cell>
          <cell r="D170">
            <v>31</v>
          </cell>
          <cell r="E170">
            <v>30086</v>
          </cell>
        </row>
        <row r="171">
          <cell r="B171">
            <v>24832169</v>
          </cell>
          <cell r="C171" t="str">
            <v>보아르워시스핀</v>
          </cell>
          <cell r="D171">
            <v>10</v>
          </cell>
          <cell r="E171">
            <v>14271</v>
          </cell>
        </row>
        <row r="172">
          <cell r="B172">
            <v>5462299</v>
          </cell>
          <cell r="C172" t="str">
            <v>오아플라이트-화이트</v>
          </cell>
          <cell r="D172">
            <v>36</v>
          </cell>
          <cell r="E172">
            <v>21320</v>
          </cell>
        </row>
        <row r="173">
          <cell r="B173">
            <v>31886592</v>
          </cell>
          <cell r="C173" t="str">
            <v>오아쁘띠컬링</v>
          </cell>
          <cell r="D173">
            <v>12</v>
          </cell>
          <cell r="E173">
            <v>23316</v>
          </cell>
        </row>
        <row r="174">
          <cell r="B174">
            <v>58730204</v>
          </cell>
          <cell r="C174" t="str">
            <v>오아윈드볼트-베이지</v>
          </cell>
          <cell r="D174">
            <v>43</v>
          </cell>
          <cell r="E174">
            <v>16683</v>
          </cell>
        </row>
        <row r="175">
          <cell r="B175">
            <v>72910683</v>
          </cell>
          <cell r="C175" t="str">
            <v>오아클린이스윙P-포그밀크</v>
          </cell>
          <cell r="D175">
            <v>33</v>
          </cell>
          <cell r="E175">
            <v>30016</v>
          </cell>
        </row>
        <row r="176">
          <cell r="B176">
            <v>75077119</v>
          </cell>
          <cell r="C176" t="str">
            <v>보아르슈트쏙의류관리기-화이트</v>
          </cell>
          <cell r="D176">
            <v>26</v>
          </cell>
          <cell r="E176">
            <v>34431</v>
          </cell>
        </row>
        <row r="177">
          <cell r="B177">
            <v>76375598</v>
          </cell>
          <cell r="C177" t="str">
            <v>오아컬리미-핑크</v>
          </cell>
          <cell r="D177">
            <v>0</v>
          </cell>
          <cell r="E177">
            <v>16491</v>
          </cell>
        </row>
        <row r="178">
          <cell r="B178">
            <v>68880617</v>
          </cell>
          <cell r="C178" t="str">
            <v>오아넥스트레쳐S-베이지</v>
          </cell>
          <cell r="D178">
            <v>9</v>
          </cell>
          <cell r="E178">
            <v>33433</v>
          </cell>
        </row>
        <row r="179">
          <cell r="B179">
            <v>68462854</v>
          </cell>
          <cell r="C179" t="str">
            <v>오아퀵차지탱크-블랙</v>
          </cell>
          <cell r="D179">
            <v>30</v>
          </cell>
          <cell r="E179">
            <v>40066</v>
          </cell>
        </row>
        <row r="180">
          <cell r="B180">
            <v>15462868</v>
          </cell>
          <cell r="C180" t="str">
            <v>오아바디팬-화이트</v>
          </cell>
          <cell r="D180">
            <v>65</v>
          </cell>
          <cell r="E180">
            <v>19966</v>
          </cell>
        </row>
        <row r="181">
          <cell r="B181">
            <v>13745117</v>
          </cell>
          <cell r="C181" t="str">
            <v>오아슈퍼건</v>
          </cell>
          <cell r="D181">
            <v>12</v>
          </cell>
          <cell r="E181">
            <v>26666</v>
          </cell>
        </row>
        <row r="182">
          <cell r="B182">
            <v>39376011</v>
          </cell>
          <cell r="C182" t="str">
            <v>오아폴드A</v>
          </cell>
          <cell r="D182">
            <v>29</v>
          </cell>
          <cell r="E182">
            <v>19966</v>
          </cell>
        </row>
        <row r="183">
          <cell r="B183">
            <v>47861038</v>
          </cell>
          <cell r="C183" t="str">
            <v>오아히트스팟W</v>
          </cell>
          <cell r="D183">
            <v>63</v>
          </cell>
          <cell r="E183">
            <v>25326</v>
          </cell>
        </row>
        <row r="184">
          <cell r="B184">
            <v>64212552</v>
          </cell>
          <cell r="C184" t="str">
            <v>오아무선고데기-퍼플</v>
          </cell>
          <cell r="D184">
            <v>19</v>
          </cell>
          <cell r="E184">
            <v>26666</v>
          </cell>
        </row>
        <row r="185">
          <cell r="B185">
            <v>12673237</v>
          </cell>
          <cell r="C185" t="str">
            <v>보아르포스D14-화이트</v>
          </cell>
          <cell r="D185">
            <v>29</v>
          </cell>
          <cell r="E185">
            <v>73030</v>
          </cell>
        </row>
        <row r="186">
          <cell r="B186">
            <v>31743599</v>
          </cell>
          <cell r="C186" t="str">
            <v>오아미니턴테이블스피커</v>
          </cell>
          <cell r="D186">
            <v>57</v>
          </cell>
          <cell r="E186">
            <v>20033</v>
          </cell>
        </row>
        <row r="187">
          <cell r="B187">
            <v>59332927</v>
          </cell>
          <cell r="C187" t="str">
            <v>오아아쿠아필링기-화이트</v>
          </cell>
          <cell r="D187">
            <v>29</v>
          </cell>
          <cell r="E187">
            <v>22043</v>
          </cell>
        </row>
        <row r="188">
          <cell r="B188">
            <v>50725354</v>
          </cell>
          <cell r="C188" t="str">
            <v>오아어깨찜질기-다크그레이</v>
          </cell>
          <cell r="D188">
            <v>60</v>
          </cell>
          <cell r="E188">
            <v>32026</v>
          </cell>
        </row>
        <row r="189">
          <cell r="B189">
            <v>11192163</v>
          </cell>
          <cell r="C189" t="str">
            <v>보아르그린에어필터</v>
          </cell>
          <cell r="D189">
            <v>8</v>
          </cell>
          <cell r="E189">
            <v>14338</v>
          </cell>
        </row>
        <row r="190">
          <cell r="B190">
            <v>76241042</v>
          </cell>
          <cell r="C190" t="str">
            <v>오아씬플로우드라이기-메탈그레이</v>
          </cell>
          <cell r="D190">
            <v>8</v>
          </cell>
          <cell r="E190">
            <v>54510</v>
          </cell>
        </row>
        <row r="191">
          <cell r="B191">
            <v>55462718</v>
          </cell>
          <cell r="C191" t="str">
            <v>오아슬림에어드라이기-블랙</v>
          </cell>
          <cell r="D191">
            <v>17</v>
          </cell>
          <cell r="E191">
            <v>39396</v>
          </cell>
        </row>
        <row r="192">
          <cell r="B192">
            <v>34331612</v>
          </cell>
          <cell r="C192" t="str">
            <v>오아반디팬</v>
          </cell>
          <cell r="D192">
            <v>68</v>
          </cell>
          <cell r="E192">
            <v>9916</v>
          </cell>
        </row>
        <row r="193">
          <cell r="B193">
            <v>54145830</v>
          </cell>
          <cell r="C193" t="str">
            <v>오아그립인스마트체중계-화이트</v>
          </cell>
          <cell r="D193">
            <v>13</v>
          </cell>
          <cell r="E193">
            <v>52930</v>
          </cell>
        </row>
        <row r="194">
          <cell r="B194">
            <v>39030281</v>
          </cell>
          <cell r="C194" t="str">
            <v>오아아기체중계</v>
          </cell>
          <cell r="D194">
            <v>26</v>
          </cell>
          <cell r="E194">
            <v>26666</v>
          </cell>
        </row>
        <row r="195">
          <cell r="B195">
            <v>10646862</v>
          </cell>
          <cell r="C195" t="str">
            <v>보아르하티포트</v>
          </cell>
          <cell r="D195">
            <v>12</v>
          </cell>
          <cell r="E195">
            <v>25393</v>
          </cell>
        </row>
        <row r="196">
          <cell r="B196">
            <v>69594684</v>
          </cell>
          <cell r="C196" t="str">
            <v>보아르모노커피그라인더-화이트</v>
          </cell>
          <cell r="D196">
            <v>6</v>
          </cell>
          <cell r="E196">
            <v>22043</v>
          </cell>
        </row>
        <row r="197">
          <cell r="B197">
            <v>25433097</v>
          </cell>
          <cell r="C197" t="str">
            <v>오아클린이펭귄-핑크</v>
          </cell>
          <cell r="D197">
            <v>21</v>
          </cell>
          <cell r="E197">
            <v>8241</v>
          </cell>
        </row>
        <row r="198">
          <cell r="B198">
            <v>66778788</v>
          </cell>
          <cell r="C198" t="str">
            <v>오아미니핏고데기-블루</v>
          </cell>
          <cell r="D198">
            <v>34</v>
          </cell>
          <cell r="E198">
            <v>17353</v>
          </cell>
        </row>
        <row r="199">
          <cell r="B199">
            <v>32711387</v>
          </cell>
          <cell r="C199" t="str">
            <v>오아 클린이소프트 미세모 블랙 2P</v>
          </cell>
          <cell r="D199">
            <v>105</v>
          </cell>
          <cell r="E199">
            <v>4020</v>
          </cell>
        </row>
        <row r="200">
          <cell r="B200">
            <v>10816066</v>
          </cell>
          <cell r="C200" t="str">
            <v>보아르파인F2000</v>
          </cell>
          <cell r="D200">
            <v>57</v>
          </cell>
          <cell r="E200">
            <v>62310</v>
          </cell>
        </row>
        <row r="201">
          <cell r="B201">
            <v>58722261</v>
          </cell>
          <cell r="C201" t="str">
            <v>오아아이스볼트-베이지</v>
          </cell>
          <cell r="D201">
            <v>185</v>
          </cell>
          <cell r="E201">
            <v>18693</v>
          </cell>
        </row>
        <row r="202">
          <cell r="B202">
            <v>12481759</v>
          </cell>
          <cell r="C202" t="str">
            <v>보아르에이블나인제빙기-블랙</v>
          </cell>
          <cell r="D202">
            <v>34</v>
          </cell>
          <cell r="E202">
            <v>95910</v>
          </cell>
        </row>
        <row r="203">
          <cell r="B203">
            <v>12439390</v>
          </cell>
          <cell r="C203" t="str">
            <v>오아바디스팟S</v>
          </cell>
          <cell r="D203">
            <v>19</v>
          </cell>
          <cell r="E203">
            <v>19966</v>
          </cell>
        </row>
        <row r="204">
          <cell r="B204">
            <v>59836396</v>
          </cell>
          <cell r="C204" t="str">
            <v>오아레트로탁상팬-베이지</v>
          </cell>
          <cell r="D204">
            <v>24</v>
          </cell>
          <cell r="E204">
            <v>26666</v>
          </cell>
        </row>
        <row r="205">
          <cell r="B205">
            <v>8122806</v>
          </cell>
          <cell r="C205" t="str">
            <v>오아EYE프로-화이트</v>
          </cell>
          <cell r="D205">
            <v>16</v>
          </cell>
          <cell r="E205">
            <v>45560</v>
          </cell>
        </row>
        <row r="206">
          <cell r="B206">
            <v>73226632</v>
          </cell>
          <cell r="C206" t="str">
            <v>오아오마컬봉고데기36mm-핑크</v>
          </cell>
          <cell r="D206">
            <v>27</v>
          </cell>
          <cell r="E206">
            <v>30083</v>
          </cell>
        </row>
        <row r="207">
          <cell r="B207">
            <v>12126317</v>
          </cell>
          <cell r="C207" t="str">
            <v>오아클린스틱-화이트</v>
          </cell>
          <cell r="D207">
            <v>12</v>
          </cell>
          <cell r="E207">
            <v>49446</v>
          </cell>
        </row>
        <row r="208">
          <cell r="B208">
            <v>52270898</v>
          </cell>
          <cell r="C208" t="str">
            <v>오아버블풋접이식족욕기</v>
          </cell>
          <cell r="D208">
            <v>21</v>
          </cell>
          <cell r="E208">
            <v>36046</v>
          </cell>
        </row>
        <row r="209">
          <cell r="B209">
            <v>39944753</v>
          </cell>
          <cell r="C209" t="str">
            <v>보아르이지전기포트S</v>
          </cell>
          <cell r="D209">
            <v>29</v>
          </cell>
          <cell r="E209">
            <v>40133</v>
          </cell>
        </row>
        <row r="210">
          <cell r="B210">
            <v>16303007</v>
          </cell>
          <cell r="C210" t="str">
            <v>오아무드센서등</v>
          </cell>
          <cell r="D210">
            <v>27</v>
          </cell>
          <cell r="E210">
            <v>14088</v>
          </cell>
        </row>
        <row r="211">
          <cell r="B211">
            <v>61929592</v>
          </cell>
          <cell r="C211" t="str">
            <v>보아르모노전기포트1.5L-화이트</v>
          </cell>
          <cell r="D211">
            <v>18</v>
          </cell>
          <cell r="E211">
            <v>36783</v>
          </cell>
        </row>
        <row r="212">
          <cell r="B212">
            <v>66778789</v>
          </cell>
          <cell r="C212" t="str">
            <v>오아미니핏고데기-핑크</v>
          </cell>
          <cell r="D212">
            <v>22</v>
          </cell>
          <cell r="E212">
            <v>17353</v>
          </cell>
        </row>
        <row r="213">
          <cell r="B213">
            <v>39651008</v>
          </cell>
          <cell r="C213" t="str">
            <v>오아펫츠애견유모차</v>
          </cell>
          <cell r="D213">
            <v>43</v>
          </cell>
          <cell r="E213">
            <v>115700</v>
          </cell>
        </row>
        <row r="214">
          <cell r="B214">
            <v>55389336</v>
          </cell>
          <cell r="C214" t="str">
            <v>오아클린이워터전용제트팁2P-(J/J2/J3)</v>
          </cell>
          <cell r="D214">
            <v>0</v>
          </cell>
          <cell r="E214">
            <v>3618</v>
          </cell>
        </row>
        <row r="215">
          <cell r="B215">
            <v>61760141</v>
          </cell>
          <cell r="C215" t="str">
            <v>보아르모노전기포트0.8L-화이트</v>
          </cell>
          <cell r="D215">
            <v>9</v>
          </cell>
          <cell r="E215">
            <v>30016</v>
          </cell>
        </row>
        <row r="216">
          <cell r="B216">
            <v>70204974</v>
          </cell>
          <cell r="C216" t="str">
            <v>오아퀵맥-실버</v>
          </cell>
          <cell r="D216">
            <v>1</v>
          </cell>
          <cell r="E216">
            <v>18693</v>
          </cell>
        </row>
        <row r="217">
          <cell r="B217">
            <v>10974363</v>
          </cell>
          <cell r="C217" t="str">
            <v>오아셀카프로짐벌-블랙</v>
          </cell>
          <cell r="D217">
            <v>36</v>
          </cell>
          <cell r="E217">
            <v>33299</v>
          </cell>
        </row>
        <row r="218">
          <cell r="B218">
            <v>69803799</v>
          </cell>
          <cell r="C218" t="str">
            <v>오아몬스터M케이블-비타오렌지</v>
          </cell>
          <cell r="D218">
            <v>82</v>
          </cell>
          <cell r="E218">
            <v>5782</v>
          </cell>
        </row>
        <row r="219">
          <cell r="B219">
            <v>53583387</v>
          </cell>
          <cell r="C219" t="str">
            <v>보아르투웨이텀블러-아이보리</v>
          </cell>
          <cell r="D219">
            <v>38</v>
          </cell>
          <cell r="E219">
            <v>14129</v>
          </cell>
        </row>
        <row r="220">
          <cell r="B220">
            <v>35192489</v>
          </cell>
          <cell r="C220" t="str">
            <v>오아넥큐어</v>
          </cell>
          <cell r="D220">
            <v>3</v>
          </cell>
          <cell r="E220">
            <v>26666</v>
          </cell>
        </row>
        <row r="221">
          <cell r="B221">
            <v>35403063</v>
          </cell>
          <cell r="C221" t="str">
            <v>오아클린이퓨어C</v>
          </cell>
          <cell r="D221">
            <v>8</v>
          </cell>
          <cell r="E221">
            <v>33366</v>
          </cell>
        </row>
        <row r="222">
          <cell r="B222">
            <v>73956461</v>
          </cell>
          <cell r="C222" t="str">
            <v>오아워터쉴드넥-클라우디블루</v>
          </cell>
          <cell r="D222">
            <v>13</v>
          </cell>
          <cell r="E222">
            <v>6072</v>
          </cell>
        </row>
        <row r="223">
          <cell r="B223">
            <v>37034524</v>
          </cell>
          <cell r="C223" t="str">
            <v>오아스트레칭마사지기</v>
          </cell>
          <cell r="D223">
            <v>14</v>
          </cell>
          <cell r="E223">
            <v>118590</v>
          </cell>
        </row>
        <row r="224">
          <cell r="B224">
            <v>72910681</v>
          </cell>
          <cell r="C224" t="str">
            <v>오아클린이스윙P-어비스블랙</v>
          </cell>
          <cell r="D224">
            <v>14</v>
          </cell>
          <cell r="E224">
            <v>30016</v>
          </cell>
        </row>
        <row r="225">
          <cell r="B225">
            <v>73316683</v>
          </cell>
          <cell r="C225" t="str">
            <v>보아르투웨이폴든텀블러-핑크</v>
          </cell>
          <cell r="D225">
            <v>16</v>
          </cell>
          <cell r="E225">
            <v>23359</v>
          </cell>
        </row>
        <row r="226">
          <cell r="B226">
            <v>27515992</v>
          </cell>
          <cell r="C226" t="str">
            <v>오아클린이퓨어ProD</v>
          </cell>
          <cell r="D226">
            <v>19</v>
          </cell>
          <cell r="E226">
            <v>18626</v>
          </cell>
        </row>
        <row r="227">
          <cell r="B227">
            <v>5359040</v>
          </cell>
          <cell r="C227" t="str">
            <v>오아블링-화이트</v>
          </cell>
          <cell r="D227">
            <v>34</v>
          </cell>
          <cell r="E227">
            <v>23100</v>
          </cell>
        </row>
        <row r="228">
          <cell r="B228">
            <v>74826974</v>
          </cell>
          <cell r="C228" t="str">
            <v>오아몬스터퀵케이블-포그밀크</v>
          </cell>
          <cell r="D228">
            <v>8</v>
          </cell>
          <cell r="E228">
            <v>5106</v>
          </cell>
        </row>
        <row r="229">
          <cell r="B229">
            <v>60542212</v>
          </cell>
          <cell r="C229" t="str">
            <v>오아무선고데기S-화이트</v>
          </cell>
          <cell r="D229">
            <v>18</v>
          </cell>
          <cell r="E229">
            <v>19966</v>
          </cell>
        </row>
        <row r="230">
          <cell r="B230">
            <v>15826960</v>
          </cell>
          <cell r="C230" t="str">
            <v>오아뷰티빗고데기</v>
          </cell>
          <cell r="D230">
            <v>30</v>
          </cell>
          <cell r="E230">
            <v>32026</v>
          </cell>
        </row>
        <row r="231">
          <cell r="B231">
            <v>63346456</v>
          </cell>
          <cell r="C231" t="str">
            <v>보아르컴플릿10L쓰레기통-베이지</v>
          </cell>
          <cell r="D231">
            <v>0</v>
          </cell>
          <cell r="E231">
            <v>21638</v>
          </cell>
        </row>
        <row r="232">
          <cell r="B232">
            <v>11192166</v>
          </cell>
          <cell r="C232" t="str">
            <v>오아퓨어오에어1공기청정기필터</v>
          </cell>
          <cell r="D232">
            <v>2</v>
          </cell>
          <cell r="E232">
            <v>5963</v>
          </cell>
        </row>
        <row r="233">
          <cell r="B233">
            <v>68677002</v>
          </cell>
          <cell r="C233" t="str">
            <v>오아제로터치바디트리머-화이트</v>
          </cell>
          <cell r="D233">
            <v>11</v>
          </cell>
          <cell r="E233">
            <v>20033</v>
          </cell>
        </row>
        <row r="234">
          <cell r="B234">
            <v>69279032</v>
          </cell>
          <cell r="C234" t="str">
            <v>오아젤디스펜서-실버</v>
          </cell>
          <cell r="D234">
            <v>0</v>
          </cell>
          <cell r="E234">
            <v>31296</v>
          </cell>
        </row>
        <row r="235">
          <cell r="B235">
            <v>45701215</v>
          </cell>
          <cell r="C235" t="str">
            <v>오아턴에어탁상팬</v>
          </cell>
          <cell r="D235">
            <v>1</v>
          </cell>
          <cell r="E235">
            <v>26666</v>
          </cell>
        </row>
        <row r="236">
          <cell r="B236">
            <v>63396496</v>
          </cell>
          <cell r="C236" t="str">
            <v>보아르하티클링침구청소기-화이트</v>
          </cell>
          <cell r="D236">
            <v>19</v>
          </cell>
          <cell r="E236">
            <v>93130</v>
          </cell>
        </row>
        <row r="237">
          <cell r="B237">
            <v>63100963</v>
          </cell>
          <cell r="C237" t="str">
            <v>보아르에이블비드블렌더-화이트</v>
          </cell>
          <cell r="D237">
            <v>16</v>
          </cell>
          <cell r="E237">
            <v>166830</v>
          </cell>
        </row>
        <row r="238">
          <cell r="B238">
            <v>26375455</v>
          </cell>
          <cell r="C238" t="str">
            <v>오아클린듀얼</v>
          </cell>
          <cell r="D238">
            <v>23</v>
          </cell>
          <cell r="E238">
            <v>55000</v>
          </cell>
        </row>
        <row r="239">
          <cell r="B239">
            <v>66417803</v>
          </cell>
          <cell r="C239" t="str">
            <v>보아르듀얼히팅에어프라이어8L-블랙</v>
          </cell>
          <cell r="D239">
            <v>12</v>
          </cell>
          <cell r="E239">
            <v>79730</v>
          </cell>
        </row>
        <row r="240">
          <cell r="B240">
            <v>51898514</v>
          </cell>
          <cell r="C240" t="str">
            <v>오아듀얼미스트무선가습기-카카오-베이지</v>
          </cell>
          <cell r="D240">
            <v>55</v>
          </cell>
          <cell r="E240">
            <v>19966</v>
          </cell>
        </row>
        <row r="241">
          <cell r="B241">
            <v>64778161</v>
          </cell>
          <cell r="C241" t="str">
            <v>오아베이직빗고데기-블루</v>
          </cell>
          <cell r="D241">
            <v>0</v>
          </cell>
          <cell r="E241">
            <v>20033</v>
          </cell>
        </row>
        <row r="242">
          <cell r="B242">
            <v>74826973</v>
          </cell>
          <cell r="C242" t="str">
            <v>오아몬스터퀵케이블-비타오렌지</v>
          </cell>
          <cell r="D242">
            <v>6</v>
          </cell>
          <cell r="E242">
            <v>5106</v>
          </cell>
        </row>
        <row r="243">
          <cell r="B243">
            <v>62575565</v>
          </cell>
          <cell r="C243" t="str">
            <v>오아버블디스펜서-화이트</v>
          </cell>
          <cell r="D243">
            <v>14</v>
          </cell>
          <cell r="E243">
            <v>18538</v>
          </cell>
        </row>
        <row r="244">
          <cell r="B244">
            <v>36635604</v>
          </cell>
          <cell r="C244" t="str">
            <v>보아르모아S1200</v>
          </cell>
          <cell r="D244">
            <v>121</v>
          </cell>
          <cell r="E244">
            <v>36783</v>
          </cell>
        </row>
        <row r="245">
          <cell r="B245">
            <v>38183281</v>
          </cell>
          <cell r="C245" t="str">
            <v>오아넥스트레쳐</v>
          </cell>
          <cell r="D245">
            <v>19</v>
          </cell>
          <cell r="E245">
            <v>26666</v>
          </cell>
        </row>
        <row r="246">
          <cell r="B246">
            <v>67891311</v>
          </cell>
          <cell r="C246" t="str">
            <v>오아온열찜질기W-베이지</v>
          </cell>
          <cell r="D246">
            <v>13</v>
          </cell>
          <cell r="E246">
            <v>26733</v>
          </cell>
        </row>
        <row r="247">
          <cell r="B247">
            <v>12481760</v>
          </cell>
          <cell r="C247" t="str">
            <v>보아르에이블나인제빙기-실버</v>
          </cell>
          <cell r="D247">
            <v>28</v>
          </cell>
          <cell r="E247">
            <v>95910</v>
          </cell>
        </row>
        <row r="248">
          <cell r="B248">
            <v>50153946</v>
          </cell>
          <cell r="C248" t="str">
            <v>보아르트래블스티머</v>
          </cell>
          <cell r="D248">
            <v>25</v>
          </cell>
          <cell r="E248">
            <v>20971</v>
          </cell>
        </row>
        <row r="249">
          <cell r="B249">
            <v>42051062</v>
          </cell>
          <cell r="C249" t="str">
            <v>보아르다이닝토스트기</v>
          </cell>
          <cell r="D249">
            <v>21</v>
          </cell>
          <cell r="E249">
            <v>40133</v>
          </cell>
        </row>
        <row r="250">
          <cell r="B250">
            <v>19365568</v>
          </cell>
          <cell r="C250" t="str">
            <v>오아힐스케어마사지기</v>
          </cell>
          <cell r="D250">
            <v>4</v>
          </cell>
          <cell r="E250">
            <v>38190</v>
          </cell>
        </row>
        <row r="251">
          <cell r="B251">
            <v>59070986</v>
          </cell>
          <cell r="C251" t="str">
            <v>보아르미스팀클링-화이트</v>
          </cell>
          <cell r="D251">
            <v>20</v>
          </cell>
          <cell r="E251">
            <v>119930</v>
          </cell>
        </row>
        <row r="252">
          <cell r="B252">
            <v>26491140</v>
          </cell>
          <cell r="C252" t="str">
            <v>오아코털제거기</v>
          </cell>
          <cell r="D252">
            <v>7</v>
          </cell>
          <cell r="E252">
            <v>13266</v>
          </cell>
        </row>
        <row r="253">
          <cell r="B253">
            <v>53967042</v>
          </cell>
          <cell r="C253" t="str">
            <v>보아르파워스핀-화이트</v>
          </cell>
          <cell r="D253">
            <v>15</v>
          </cell>
          <cell r="E253">
            <v>52930</v>
          </cell>
        </row>
        <row r="254">
          <cell r="B254">
            <v>42519088</v>
          </cell>
          <cell r="C254" t="str">
            <v>보아르포스A</v>
          </cell>
          <cell r="D254">
            <v>13</v>
          </cell>
          <cell r="E254">
            <v>40066</v>
          </cell>
        </row>
        <row r="255">
          <cell r="B255">
            <v>69770093</v>
          </cell>
          <cell r="C255" t="str">
            <v>오아효도손마사지기-블랙</v>
          </cell>
          <cell r="D255">
            <v>33</v>
          </cell>
          <cell r="E255">
            <v>40066</v>
          </cell>
        </row>
        <row r="256">
          <cell r="B256">
            <v>14488275</v>
          </cell>
          <cell r="C256" t="str">
            <v>보아르워터스핀B1-화이트</v>
          </cell>
          <cell r="D256">
            <v>10</v>
          </cell>
          <cell r="E256">
            <v>43416</v>
          </cell>
        </row>
        <row r="257">
          <cell r="B257">
            <v>9567647</v>
          </cell>
          <cell r="C257" t="str">
            <v>오아안개가습기1000</v>
          </cell>
          <cell r="D257">
            <v>1</v>
          </cell>
          <cell r="E257">
            <v>29413</v>
          </cell>
        </row>
        <row r="258">
          <cell r="B258">
            <v>76374400</v>
          </cell>
          <cell r="C258" t="str">
            <v>오아올리미-핑크</v>
          </cell>
          <cell r="D258">
            <v>10</v>
          </cell>
          <cell r="E258">
            <v>16491</v>
          </cell>
        </row>
        <row r="259">
          <cell r="B259">
            <v>12757668</v>
          </cell>
          <cell r="C259" t="str">
            <v>오아체중계</v>
          </cell>
          <cell r="D259">
            <v>14</v>
          </cell>
          <cell r="E259">
            <v>13266</v>
          </cell>
        </row>
        <row r="260">
          <cell r="B260">
            <v>10694343</v>
          </cell>
          <cell r="C260" t="str">
            <v>오아와이더F2</v>
          </cell>
          <cell r="D260">
            <v>48</v>
          </cell>
          <cell r="E260">
            <v>19674</v>
          </cell>
        </row>
        <row r="261">
          <cell r="B261">
            <v>64114088</v>
          </cell>
          <cell r="C261" t="str">
            <v>오아포인트클락-핑크</v>
          </cell>
          <cell r="D261">
            <v>7</v>
          </cell>
          <cell r="E261">
            <v>14885</v>
          </cell>
        </row>
        <row r="262">
          <cell r="B262">
            <v>38490171</v>
          </cell>
          <cell r="C262" t="str">
            <v>오아스퀘어미니가습기-베이지</v>
          </cell>
          <cell r="D262">
            <v>26</v>
          </cell>
          <cell r="E262">
            <v>14606</v>
          </cell>
        </row>
        <row r="263">
          <cell r="B263">
            <v>11511332</v>
          </cell>
          <cell r="C263" t="str">
            <v>오아아이로너터보-화이트</v>
          </cell>
          <cell r="D263">
            <v>6</v>
          </cell>
          <cell r="E263">
            <v>26666</v>
          </cell>
        </row>
        <row r="264">
          <cell r="B264">
            <v>12038103</v>
          </cell>
          <cell r="C264" t="str">
            <v>보아르모아파워제습기6L</v>
          </cell>
          <cell r="D264">
            <v>31</v>
          </cell>
          <cell r="E264">
            <v>105860</v>
          </cell>
        </row>
        <row r="265">
          <cell r="B265">
            <v>58040260</v>
          </cell>
          <cell r="C265" t="str">
            <v>오아냉온진동클렌저-베이지</v>
          </cell>
          <cell r="D265">
            <v>6</v>
          </cell>
          <cell r="E265">
            <v>26666</v>
          </cell>
        </row>
        <row r="266">
          <cell r="B266">
            <v>38415503</v>
          </cell>
          <cell r="C266" t="str">
            <v>오아베이직판고데기-베이지</v>
          </cell>
          <cell r="D266">
            <v>7</v>
          </cell>
          <cell r="E266">
            <v>23316</v>
          </cell>
        </row>
        <row r="267">
          <cell r="B267">
            <v>16981939</v>
          </cell>
          <cell r="C267" t="str">
            <v>오아 클린이베어 블루+핑크</v>
          </cell>
          <cell r="D267">
            <v>7</v>
          </cell>
          <cell r="E267">
            <v>30552</v>
          </cell>
        </row>
        <row r="268">
          <cell r="B268">
            <v>61199642</v>
          </cell>
          <cell r="C268" t="str">
            <v>오아에어리스마트-화이트</v>
          </cell>
          <cell r="D268">
            <v>8</v>
          </cell>
          <cell r="E268">
            <v>58960</v>
          </cell>
        </row>
        <row r="269">
          <cell r="B269">
            <v>18980681</v>
          </cell>
          <cell r="C269" t="str">
            <v>오아바디스팟W</v>
          </cell>
          <cell r="D269">
            <v>11</v>
          </cell>
          <cell r="E269">
            <v>19966</v>
          </cell>
        </row>
        <row r="270">
          <cell r="B270">
            <v>50012601</v>
          </cell>
          <cell r="C270" t="str">
            <v>오아퓨어필워터</v>
          </cell>
          <cell r="D270">
            <v>12</v>
          </cell>
          <cell r="E270">
            <v>24656</v>
          </cell>
        </row>
        <row r="271">
          <cell r="B271">
            <v>61929727</v>
          </cell>
          <cell r="C271" t="str">
            <v>보아르아가쑥쑥분유쉐이커-화이트</v>
          </cell>
          <cell r="D271">
            <v>14</v>
          </cell>
          <cell r="E271">
            <v>30083</v>
          </cell>
        </row>
        <row r="272">
          <cell r="B272">
            <v>60015061</v>
          </cell>
          <cell r="C272" t="str">
            <v>오아레트로핸디팬-베이지</v>
          </cell>
          <cell r="D272">
            <v>16</v>
          </cell>
          <cell r="E272">
            <v>11926</v>
          </cell>
        </row>
        <row r="273">
          <cell r="B273">
            <v>10814871</v>
          </cell>
          <cell r="C273" t="str">
            <v>오아와이더F3</v>
          </cell>
          <cell r="D273">
            <v>17</v>
          </cell>
          <cell r="E273">
            <v>20680</v>
          </cell>
        </row>
        <row r="274">
          <cell r="B274">
            <v>12496637</v>
          </cell>
          <cell r="C274" t="str">
            <v>오아퓨어라인진동클렌저-블랙</v>
          </cell>
          <cell r="D274">
            <v>28</v>
          </cell>
          <cell r="E274">
            <v>26666</v>
          </cell>
        </row>
        <row r="275">
          <cell r="B275">
            <v>72614936</v>
          </cell>
          <cell r="C275" t="str">
            <v>오아라운드핸디맥스-클라우디블루</v>
          </cell>
          <cell r="D275">
            <v>65</v>
          </cell>
          <cell r="E275">
            <v>16683</v>
          </cell>
        </row>
        <row r="276">
          <cell r="B276">
            <v>72614937</v>
          </cell>
          <cell r="C276" t="str">
            <v>오아라운드핸디맥스-포그밀크</v>
          </cell>
          <cell r="D276">
            <v>70</v>
          </cell>
          <cell r="E276">
            <v>16683</v>
          </cell>
        </row>
        <row r="277">
          <cell r="B277">
            <v>62380995</v>
          </cell>
          <cell r="C277" t="str">
            <v>보아르다이닝온전기포트-아이보리</v>
          </cell>
          <cell r="D277">
            <v>11</v>
          </cell>
          <cell r="E277">
            <v>33366</v>
          </cell>
        </row>
        <row r="278">
          <cell r="B278">
            <v>56663811</v>
          </cell>
          <cell r="C278" t="str">
            <v>보아르컴플릿D20L쓰레기통-베이지</v>
          </cell>
          <cell r="D278">
            <v>6</v>
          </cell>
          <cell r="E278">
            <v>40800</v>
          </cell>
        </row>
        <row r="279">
          <cell r="B279">
            <v>29258063</v>
          </cell>
          <cell r="C279" t="str">
            <v>보아르아띠랑스전기포트-화이트</v>
          </cell>
          <cell r="D279">
            <v>5</v>
          </cell>
          <cell r="E279">
            <v>25326</v>
          </cell>
        </row>
        <row r="280">
          <cell r="B280">
            <v>50875168</v>
          </cell>
          <cell r="C280" t="str">
            <v>오아커버넥마사지기-베이지</v>
          </cell>
          <cell r="D280">
            <v>7</v>
          </cell>
          <cell r="E280">
            <v>58826</v>
          </cell>
        </row>
        <row r="281">
          <cell r="B281">
            <v>57422656</v>
          </cell>
          <cell r="C281" t="str">
            <v>오아롤링스팟-블랙</v>
          </cell>
          <cell r="D281">
            <v>10</v>
          </cell>
          <cell r="E281">
            <v>32093</v>
          </cell>
        </row>
        <row r="282">
          <cell r="B282">
            <v>12095120</v>
          </cell>
          <cell r="C282" t="str">
            <v>보아르모아파워제습기16L</v>
          </cell>
          <cell r="D282">
            <v>3</v>
          </cell>
          <cell r="E282">
            <v>172860</v>
          </cell>
        </row>
        <row r="283">
          <cell r="B283">
            <v>60541171</v>
          </cell>
          <cell r="C283" t="str">
            <v>보아르모아S2000제습기-블랙</v>
          </cell>
          <cell r="D283">
            <v>58</v>
          </cell>
          <cell r="E283">
            <v>66330</v>
          </cell>
        </row>
        <row r="284">
          <cell r="B284">
            <v>46801171</v>
          </cell>
          <cell r="C284" t="str">
            <v>보아르모아S3200</v>
          </cell>
          <cell r="D284">
            <v>54</v>
          </cell>
          <cell r="E284">
            <v>64320</v>
          </cell>
        </row>
        <row r="285">
          <cell r="B285">
            <v>38310913</v>
          </cell>
          <cell r="C285" t="str">
            <v>오아폴드I</v>
          </cell>
          <cell r="D285">
            <v>2</v>
          </cell>
          <cell r="E285">
            <v>19966</v>
          </cell>
        </row>
        <row r="286">
          <cell r="B286">
            <v>64912430</v>
          </cell>
          <cell r="C286" t="str">
            <v>오아쁘띠차저67W-화이트</v>
          </cell>
          <cell r="D286">
            <v>8</v>
          </cell>
          <cell r="E286">
            <v>38793</v>
          </cell>
        </row>
        <row r="287">
          <cell r="B287">
            <v>51533853</v>
          </cell>
          <cell r="C287" t="str">
            <v>오아오토셋</v>
          </cell>
          <cell r="D287">
            <v>5</v>
          </cell>
          <cell r="E287">
            <v>40066</v>
          </cell>
        </row>
        <row r="288">
          <cell r="B288">
            <v>25512595</v>
          </cell>
          <cell r="C288" t="str">
            <v>오아클린이펭귄-블루</v>
          </cell>
          <cell r="D288">
            <v>6</v>
          </cell>
          <cell r="E288">
            <v>8241</v>
          </cell>
        </row>
        <row r="289">
          <cell r="B289">
            <v>3636927</v>
          </cell>
          <cell r="C289" t="str">
            <v>오아무드가습기500</v>
          </cell>
          <cell r="D289">
            <v>7</v>
          </cell>
          <cell r="E289">
            <v>21976</v>
          </cell>
        </row>
        <row r="290">
          <cell r="B290">
            <v>61929493</v>
          </cell>
          <cell r="C290" t="str">
            <v>오아에어셋2-아이보리</v>
          </cell>
          <cell r="D290">
            <v>12</v>
          </cell>
          <cell r="E290">
            <v>85760</v>
          </cell>
        </row>
        <row r="291">
          <cell r="B291">
            <v>42803850</v>
          </cell>
          <cell r="C291" t="str">
            <v>오아클린건</v>
          </cell>
          <cell r="D291">
            <v>37</v>
          </cell>
          <cell r="E291">
            <v>26530</v>
          </cell>
        </row>
        <row r="292">
          <cell r="B292">
            <v>74685916</v>
          </cell>
          <cell r="C292" t="str">
            <v>오아클린이워터J3-포그밀크</v>
          </cell>
          <cell r="D292">
            <v>70</v>
          </cell>
          <cell r="E292">
            <v>33433</v>
          </cell>
        </row>
        <row r="293">
          <cell r="B293">
            <v>12579597</v>
          </cell>
          <cell r="C293" t="str">
            <v>보아르스티머인젝터</v>
          </cell>
          <cell r="D293">
            <v>10</v>
          </cell>
          <cell r="E293">
            <v>25326</v>
          </cell>
        </row>
        <row r="294">
          <cell r="B294">
            <v>61760291</v>
          </cell>
          <cell r="C294" t="str">
            <v>보아르다이닝저당밥솥-아이보리</v>
          </cell>
          <cell r="D294">
            <v>10</v>
          </cell>
          <cell r="E294">
            <v>59630</v>
          </cell>
        </row>
        <row r="295">
          <cell r="B295">
            <v>55610213</v>
          </cell>
          <cell r="C295" t="str">
            <v>오아레그스파-네이비</v>
          </cell>
          <cell r="D295">
            <v>4</v>
          </cell>
          <cell r="E295">
            <v>65660</v>
          </cell>
        </row>
        <row r="296">
          <cell r="B296">
            <v>12685386</v>
          </cell>
          <cell r="C296" t="str">
            <v>오아클린이퓨어Air</v>
          </cell>
          <cell r="D296">
            <v>6</v>
          </cell>
          <cell r="E296">
            <v>23316</v>
          </cell>
        </row>
        <row r="297">
          <cell r="B297">
            <v>36608029</v>
          </cell>
          <cell r="C297" t="str">
            <v>오아아이템플</v>
          </cell>
          <cell r="D297">
            <v>10</v>
          </cell>
          <cell r="E297">
            <v>46230</v>
          </cell>
        </row>
        <row r="298">
          <cell r="B298">
            <v>38157908</v>
          </cell>
          <cell r="C298" t="str">
            <v>오아슈퍼플로우드라이기</v>
          </cell>
          <cell r="D298">
            <v>11</v>
          </cell>
          <cell r="E298">
            <v>86430</v>
          </cell>
        </row>
        <row r="299">
          <cell r="B299">
            <v>76374401</v>
          </cell>
          <cell r="C299" t="str">
            <v>오아올리미-화이트</v>
          </cell>
          <cell r="D299">
            <v>12</v>
          </cell>
          <cell r="E299">
            <v>16491</v>
          </cell>
        </row>
        <row r="300">
          <cell r="B300">
            <v>66358440</v>
          </cell>
          <cell r="C300" t="str">
            <v>오아히트워머-핑크</v>
          </cell>
          <cell r="D300">
            <v>18</v>
          </cell>
          <cell r="E300">
            <v>21976</v>
          </cell>
        </row>
        <row r="301">
          <cell r="B301">
            <v>58610450</v>
          </cell>
          <cell r="C301" t="str">
            <v>오아에어링탁상팬-아이보리</v>
          </cell>
          <cell r="D301">
            <v>28</v>
          </cell>
          <cell r="E301">
            <v>26666</v>
          </cell>
        </row>
        <row r="302">
          <cell r="B302">
            <v>64330764</v>
          </cell>
          <cell r="C302" t="str">
            <v>오아이지물결고데기-블루</v>
          </cell>
          <cell r="D302">
            <v>30</v>
          </cell>
          <cell r="E302">
            <v>30086</v>
          </cell>
        </row>
        <row r="303">
          <cell r="B303">
            <v>72614935</v>
          </cell>
          <cell r="C303" t="str">
            <v>오아라운드핸디맥스-코지피치</v>
          </cell>
          <cell r="D303">
            <v>86</v>
          </cell>
          <cell r="E303">
            <v>16683</v>
          </cell>
        </row>
        <row r="304">
          <cell r="B304">
            <v>72417582</v>
          </cell>
          <cell r="C304" t="str">
            <v>보아르퓨어링공기청정선풍기-화이트</v>
          </cell>
          <cell r="D304">
            <v>53</v>
          </cell>
          <cell r="E304">
            <v>200330</v>
          </cell>
        </row>
        <row r="305">
          <cell r="B305">
            <v>60725132</v>
          </cell>
          <cell r="C305" t="str">
            <v>오아클린이퓨어S-화이트</v>
          </cell>
          <cell r="D305">
            <v>11</v>
          </cell>
          <cell r="E305">
            <v>12663</v>
          </cell>
        </row>
        <row r="306">
          <cell r="B306">
            <v>56667264</v>
          </cell>
          <cell r="C306" t="str">
            <v>오아미니핸디청소기-화이트</v>
          </cell>
          <cell r="D306">
            <v>4</v>
          </cell>
          <cell r="E306">
            <v>42746</v>
          </cell>
        </row>
        <row r="307">
          <cell r="B307">
            <v>69292186</v>
          </cell>
          <cell r="C307" t="str">
            <v>오아퀵스트랩-코튼핑크</v>
          </cell>
          <cell r="D307">
            <v>5</v>
          </cell>
          <cell r="E307">
            <v>5963</v>
          </cell>
        </row>
        <row r="308">
          <cell r="B308">
            <v>76375597</v>
          </cell>
          <cell r="C308" t="str">
            <v>오아컬리미-화이트</v>
          </cell>
          <cell r="D308">
            <v>13</v>
          </cell>
          <cell r="E308">
            <v>16491</v>
          </cell>
        </row>
        <row r="309">
          <cell r="B309">
            <v>22441147</v>
          </cell>
          <cell r="C309" t="str">
            <v>오아무드워머-화이트</v>
          </cell>
          <cell r="D309">
            <v>5</v>
          </cell>
          <cell r="E309">
            <v>29634</v>
          </cell>
        </row>
        <row r="310">
          <cell r="B310">
            <v>14299890</v>
          </cell>
          <cell r="C310" t="str">
            <v>오아다리360</v>
          </cell>
          <cell r="D310">
            <v>7</v>
          </cell>
          <cell r="E310">
            <v>118590</v>
          </cell>
        </row>
        <row r="311">
          <cell r="B311">
            <v>49473587</v>
          </cell>
          <cell r="C311" t="str">
            <v>오아O2공기청정기-아이보리</v>
          </cell>
          <cell r="D311">
            <v>8</v>
          </cell>
          <cell r="E311">
            <v>23316</v>
          </cell>
        </row>
        <row r="312">
          <cell r="B312">
            <v>65566244</v>
          </cell>
          <cell r="C312" t="str">
            <v>보아르듀이아쿠아8L기화식가습기-화이트</v>
          </cell>
          <cell r="D312">
            <v>15</v>
          </cell>
          <cell r="E312">
            <v>106530</v>
          </cell>
        </row>
        <row r="313">
          <cell r="B313">
            <v>10858043</v>
          </cell>
          <cell r="C313" t="str">
            <v>오아트래블러</v>
          </cell>
          <cell r="D313">
            <v>18</v>
          </cell>
          <cell r="E313">
            <v>16181</v>
          </cell>
        </row>
        <row r="314">
          <cell r="B314">
            <v>64257297</v>
          </cell>
          <cell r="C314" t="str">
            <v>오아퀵롤-베이지</v>
          </cell>
          <cell r="D314">
            <v>19</v>
          </cell>
          <cell r="E314">
            <v>15946</v>
          </cell>
        </row>
        <row r="315">
          <cell r="B315">
            <v>60541542</v>
          </cell>
          <cell r="C315" t="str">
            <v>보아르모아S2000제습기-화이트</v>
          </cell>
          <cell r="D315">
            <v>12</v>
          </cell>
          <cell r="E315">
            <v>66330</v>
          </cell>
        </row>
        <row r="316">
          <cell r="B316">
            <v>70770186</v>
          </cell>
          <cell r="C316" t="str">
            <v>오아보이스팬-포그밀크</v>
          </cell>
          <cell r="D316">
            <v>257</v>
          </cell>
          <cell r="E316">
            <v>46230</v>
          </cell>
        </row>
        <row r="317">
          <cell r="B317">
            <v>50154913</v>
          </cell>
          <cell r="C317" t="str">
            <v>보아르스위프클링</v>
          </cell>
          <cell r="D317">
            <v>9</v>
          </cell>
          <cell r="E317">
            <v>32026</v>
          </cell>
        </row>
        <row r="318">
          <cell r="B318">
            <v>63742200</v>
          </cell>
          <cell r="C318" t="str">
            <v>보아르아가온분유포트-화이트</v>
          </cell>
          <cell r="D318">
            <v>8</v>
          </cell>
          <cell r="E318">
            <v>86430</v>
          </cell>
        </row>
        <row r="319">
          <cell r="B319">
            <v>11291291</v>
          </cell>
          <cell r="C319" t="str">
            <v>보아르모아M1000HEPA필터</v>
          </cell>
          <cell r="D319">
            <v>8</v>
          </cell>
          <cell r="E319">
            <v>8978</v>
          </cell>
        </row>
        <row r="320">
          <cell r="B320">
            <v>60543356</v>
          </cell>
          <cell r="C320" t="str">
            <v>보아르컴플릿S미니건조기4kg-화이트</v>
          </cell>
          <cell r="D320">
            <v>6</v>
          </cell>
          <cell r="E320">
            <v>200330</v>
          </cell>
        </row>
        <row r="321">
          <cell r="B321">
            <v>67438487</v>
          </cell>
          <cell r="C321" t="str">
            <v>오아베이직판고데기-블루</v>
          </cell>
          <cell r="D321">
            <v>1</v>
          </cell>
          <cell r="E321">
            <v>23316</v>
          </cell>
        </row>
        <row r="322">
          <cell r="B322">
            <v>64971361</v>
          </cell>
          <cell r="C322" t="str">
            <v>오아쁘띠차저35W-화이트</v>
          </cell>
          <cell r="D322">
            <v>3</v>
          </cell>
          <cell r="E322">
            <v>10586</v>
          </cell>
        </row>
        <row r="323">
          <cell r="B323">
            <v>15795597</v>
          </cell>
          <cell r="C323" t="str">
            <v>오아클린스틱-블랙</v>
          </cell>
          <cell r="D323">
            <v>4</v>
          </cell>
          <cell r="E323">
            <v>49446</v>
          </cell>
        </row>
        <row r="324">
          <cell r="B324">
            <v>65969750</v>
          </cell>
          <cell r="C324" t="str">
            <v>오아쁘띠차저100W-화이트</v>
          </cell>
          <cell r="D324">
            <v>4</v>
          </cell>
          <cell r="E324">
            <v>52930</v>
          </cell>
        </row>
        <row r="325">
          <cell r="B325">
            <v>72683872</v>
          </cell>
          <cell r="C325" t="str">
            <v>보아르워터클링무선습식청소기-화이트</v>
          </cell>
          <cell r="D325">
            <v>4</v>
          </cell>
          <cell r="E325">
            <v>99160</v>
          </cell>
        </row>
        <row r="326">
          <cell r="B326">
            <v>56651433</v>
          </cell>
          <cell r="C326" t="str">
            <v>오아덴티스윙-화이트</v>
          </cell>
          <cell r="D326">
            <v>8</v>
          </cell>
          <cell r="E326">
            <v>33433</v>
          </cell>
        </row>
        <row r="327">
          <cell r="B327">
            <v>66896364</v>
          </cell>
          <cell r="C327" t="str">
            <v>오아스톰젯-메탈그레이</v>
          </cell>
          <cell r="D327">
            <v>9</v>
          </cell>
          <cell r="E327">
            <v>40133</v>
          </cell>
        </row>
        <row r="328">
          <cell r="B328">
            <v>31792560</v>
          </cell>
          <cell r="C328" t="str">
            <v>오아와이더C</v>
          </cell>
          <cell r="D328">
            <v>10</v>
          </cell>
          <cell r="E328">
            <v>23980</v>
          </cell>
        </row>
        <row r="329">
          <cell r="B329">
            <v>52362395</v>
          </cell>
          <cell r="C329" t="str">
            <v>오아모던미니알람시계-화이트</v>
          </cell>
          <cell r="D329">
            <v>11</v>
          </cell>
          <cell r="E329">
            <v>9685</v>
          </cell>
        </row>
        <row r="330">
          <cell r="B330">
            <v>60133592</v>
          </cell>
          <cell r="C330" t="str">
            <v>오아다리마사지기-네이비</v>
          </cell>
          <cell r="D330">
            <v>11</v>
          </cell>
          <cell r="E330">
            <v>46766</v>
          </cell>
        </row>
        <row r="331">
          <cell r="B331">
            <v>70530577</v>
          </cell>
          <cell r="C331" t="str">
            <v>오아렛츠플레이핏-베이지</v>
          </cell>
          <cell r="D331">
            <v>11</v>
          </cell>
          <cell r="E331">
            <v>23283</v>
          </cell>
        </row>
        <row r="332">
          <cell r="B332">
            <v>64223250</v>
          </cell>
          <cell r="C332" t="str">
            <v>오아굿슬립pro-아이보리</v>
          </cell>
          <cell r="D332">
            <v>18</v>
          </cell>
          <cell r="E332">
            <v>52930</v>
          </cell>
        </row>
        <row r="333">
          <cell r="B333">
            <v>64753996</v>
          </cell>
          <cell r="C333" t="str">
            <v>오아캘린더LED벽시계-우드</v>
          </cell>
          <cell r="D333">
            <v>20</v>
          </cell>
          <cell r="E333">
            <v>135850</v>
          </cell>
        </row>
        <row r="334">
          <cell r="B334">
            <v>52874174</v>
          </cell>
          <cell r="C334" t="str">
            <v>오아포그니발온열찜질기-다크그레이</v>
          </cell>
          <cell r="D334">
            <v>21</v>
          </cell>
          <cell r="E334">
            <v>26666</v>
          </cell>
        </row>
        <row r="335">
          <cell r="B335">
            <v>25665354</v>
          </cell>
          <cell r="C335" t="str">
            <v>오아모노에어써큘레이터</v>
          </cell>
          <cell r="D335">
            <v>28</v>
          </cell>
          <cell r="E335">
            <v>64990</v>
          </cell>
        </row>
        <row r="336">
          <cell r="B336">
            <v>62385013</v>
          </cell>
          <cell r="C336" t="str">
            <v>보아르아가보틀휴대용분유포트-화이트</v>
          </cell>
          <cell r="D336">
            <v>49</v>
          </cell>
          <cell r="E336">
            <v>58960</v>
          </cell>
        </row>
        <row r="337">
          <cell r="B337">
            <v>11288089</v>
          </cell>
          <cell r="C337" t="str">
            <v>오아굿모닝베개안마기</v>
          </cell>
          <cell r="D337">
            <v>7</v>
          </cell>
          <cell r="E337">
            <v>52863</v>
          </cell>
        </row>
        <row r="338">
          <cell r="B338">
            <v>40636333</v>
          </cell>
          <cell r="C338" t="str">
            <v>오아홈텍트-화이트</v>
          </cell>
          <cell r="D338">
            <v>12</v>
          </cell>
          <cell r="E338">
            <v>33366</v>
          </cell>
        </row>
        <row r="339">
          <cell r="B339">
            <v>11765770</v>
          </cell>
          <cell r="C339" t="str">
            <v>보아르모아스마트제습기13L</v>
          </cell>
          <cell r="D339">
            <v>26</v>
          </cell>
          <cell r="E339">
            <v>159460</v>
          </cell>
        </row>
        <row r="340">
          <cell r="B340">
            <v>55356212</v>
          </cell>
          <cell r="C340" t="str">
            <v>오아클린스톰-블랙</v>
          </cell>
          <cell r="D340">
            <v>3</v>
          </cell>
          <cell r="E340">
            <v>51590</v>
          </cell>
        </row>
        <row r="341">
          <cell r="B341">
            <v>40640374</v>
          </cell>
          <cell r="C341" t="str">
            <v>오아온열찜질기</v>
          </cell>
          <cell r="D341">
            <v>6</v>
          </cell>
          <cell r="E341">
            <v>26666</v>
          </cell>
        </row>
        <row r="342">
          <cell r="B342">
            <v>8837870</v>
          </cell>
          <cell r="C342" t="str">
            <v>오아이지탭램프</v>
          </cell>
          <cell r="D342">
            <v>6</v>
          </cell>
          <cell r="E342">
            <v>20210</v>
          </cell>
        </row>
        <row r="343">
          <cell r="B343">
            <v>48477550</v>
          </cell>
          <cell r="C343" t="str">
            <v>오아멀티마사지건-블랙</v>
          </cell>
          <cell r="D343">
            <v>7</v>
          </cell>
          <cell r="E343">
            <v>51590</v>
          </cell>
        </row>
        <row r="344">
          <cell r="B344">
            <v>52390638</v>
          </cell>
          <cell r="C344" t="str">
            <v>오아모던미니LED시계-베이지</v>
          </cell>
          <cell r="D344">
            <v>9</v>
          </cell>
          <cell r="E344">
            <v>35620</v>
          </cell>
        </row>
        <row r="345">
          <cell r="B345">
            <v>40501253</v>
          </cell>
          <cell r="C345" t="str">
            <v>보아르컴포트클링</v>
          </cell>
          <cell r="D345">
            <v>10</v>
          </cell>
          <cell r="E345">
            <v>73030</v>
          </cell>
        </row>
        <row r="346">
          <cell r="B346">
            <v>65145714</v>
          </cell>
          <cell r="C346" t="str">
            <v>보아르위셀음식물처리기-화이트</v>
          </cell>
          <cell r="D346">
            <v>8</v>
          </cell>
          <cell r="E346">
            <v>213060</v>
          </cell>
        </row>
        <row r="347">
          <cell r="B347">
            <v>73316685</v>
          </cell>
          <cell r="C347" t="str">
            <v>보아르투웨이폴든텀블러-아이보리</v>
          </cell>
          <cell r="D347">
            <v>7</v>
          </cell>
          <cell r="E347">
            <v>23359</v>
          </cell>
        </row>
        <row r="348">
          <cell r="B348">
            <v>67900090</v>
          </cell>
          <cell r="C348" t="str">
            <v>보아르에이블비드진공포장기-화이트</v>
          </cell>
          <cell r="D348">
            <v>5</v>
          </cell>
          <cell r="E348">
            <v>43483</v>
          </cell>
        </row>
        <row r="349">
          <cell r="B349">
            <v>59058036</v>
          </cell>
          <cell r="C349" t="str">
            <v>오아포켓터-베이지</v>
          </cell>
          <cell r="D349">
            <v>2</v>
          </cell>
          <cell r="E349">
            <v>20860</v>
          </cell>
        </row>
        <row r="350">
          <cell r="B350">
            <v>15825326</v>
          </cell>
          <cell r="C350" t="str">
            <v>오아클린벨-블랙</v>
          </cell>
          <cell r="D350">
            <v>3</v>
          </cell>
          <cell r="E350">
            <v>31300</v>
          </cell>
        </row>
        <row r="351">
          <cell r="B351">
            <v>67272046</v>
          </cell>
          <cell r="C351" t="str">
            <v>오아크로멜무드등-실버</v>
          </cell>
          <cell r="D351">
            <v>3</v>
          </cell>
          <cell r="E351">
            <v>24635</v>
          </cell>
        </row>
        <row r="352">
          <cell r="B352">
            <v>11192167</v>
          </cell>
          <cell r="C352" t="str">
            <v>보아르휘겔리프리미엄필터</v>
          </cell>
          <cell r="D352">
            <v>5</v>
          </cell>
          <cell r="E352">
            <v>12998</v>
          </cell>
        </row>
        <row r="353">
          <cell r="B353">
            <v>38412071</v>
          </cell>
          <cell r="C353" t="str">
            <v>오아스퀘어미니발난로-베이지</v>
          </cell>
          <cell r="D353">
            <v>4</v>
          </cell>
          <cell r="E353">
            <v>20033</v>
          </cell>
        </row>
        <row r="354">
          <cell r="B354">
            <v>13099542</v>
          </cell>
          <cell r="C354" t="str">
            <v>오아센스C무선가습기</v>
          </cell>
          <cell r="D354">
            <v>4</v>
          </cell>
          <cell r="E354">
            <v>11926</v>
          </cell>
        </row>
        <row r="355">
          <cell r="B355">
            <v>40639939</v>
          </cell>
          <cell r="C355" t="str">
            <v>오아25W고속충전어댑터</v>
          </cell>
          <cell r="D355">
            <v>5</v>
          </cell>
          <cell r="E355">
            <v>6365</v>
          </cell>
        </row>
        <row r="356">
          <cell r="B356">
            <v>39270777</v>
          </cell>
          <cell r="C356" t="str">
            <v>오아터치펜M</v>
          </cell>
          <cell r="D356">
            <v>5</v>
          </cell>
          <cell r="E356">
            <v>13266</v>
          </cell>
        </row>
        <row r="357">
          <cell r="B357">
            <v>39239709</v>
          </cell>
          <cell r="C357" t="str">
            <v>오아무선에어건S-화이트</v>
          </cell>
          <cell r="D357">
            <v>7</v>
          </cell>
          <cell r="E357">
            <v>44756</v>
          </cell>
        </row>
        <row r="358">
          <cell r="B358">
            <v>67627331</v>
          </cell>
          <cell r="C358" t="str">
            <v>오아웨이스트레쳐-베이지</v>
          </cell>
          <cell r="D358">
            <v>7</v>
          </cell>
          <cell r="E358">
            <v>36716</v>
          </cell>
        </row>
        <row r="359">
          <cell r="B359">
            <v>70530576</v>
          </cell>
          <cell r="C359" t="str">
            <v>오아렛츠플레이핏-블랙</v>
          </cell>
          <cell r="D359">
            <v>9</v>
          </cell>
          <cell r="E359">
            <v>23283</v>
          </cell>
        </row>
        <row r="360">
          <cell r="B360">
            <v>61923953</v>
          </cell>
          <cell r="C360" t="str">
            <v>오아윙즈스탠드-화이트</v>
          </cell>
          <cell r="D360">
            <v>10</v>
          </cell>
          <cell r="E360">
            <v>50430</v>
          </cell>
        </row>
        <row r="361">
          <cell r="B361">
            <v>13101217</v>
          </cell>
          <cell r="C361" t="str">
            <v>오아클린이소프트R-화이트</v>
          </cell>
          <cell r="D361">
            <v>14</v>
          </cell>
          <cell r="E361">
            <v>29346</v>
          </cell>
        </row>
        <row r="362">
          <cell r="B362">
            <v>12091621</v>
          </cell>
          <cell r="C362" t="str">
            <v>보아르V에어46프리미엄필터</v>
          </cell>
          <cell r="D362">
            <v>2</v>
          </cell>
          <cell r="E362">
            <v>26398</v>
          </cell>
        </row>
        <row r="363">
          <cell r="B363">
            <v>65935700</v>
          </cell>
          <cell r="C363" t="str">
            <v>오아듀얼미스트맥스-포그밀크</v>
          </cell>
          <cell r="D363">
            <v>17</v>
          </cell>
          <cell r="E363">
            <v>26666</v>
          </cell>
        </row>
        <row r="364">
          <cell r="B364">
            <v>13195811</v>
          </cell>
          <cell r="C364" t="str">
            <v>오아듀얼무릎마사지기V2</v>
          </cell>
          <cell r="D364">
            <v>9</v>
          </cell>
          <cell r="E364">
            <v>91790</v>
          </cell>
        </row>
        <row r="365">
          <cell r="B365">
            <v>38158208</v>
          </cell>
          <cell r="C365" t="str">
            <v>오아더벨벳무선고데기</v>
          </cell>
          <cell r="D365">
            <v>2</v>
          </cell>
          <cell r="E365">
            <v>33366</v>
          </cell>
        </row>
        <row r="366">
          <cell r="B366">
            <v>12218847</v>
          </cell>
          <cell r="C366" t="str">
            <v>보아르모아스마트제습기13L필터</v>
          </cell>
          <cell r="D366">
            <v>16</v>
          </cell>
          <cell r="E366">
            <v>10318</v>
          </cell>
        </row>
        <row r="367">
          <cell r="B367">
            <v>52204284</v>
          </cell>
          <cell r="C367" t="str">
            <v>보아르스위프클링전용필터</v>
          </cell>
          <cell r="D367">
            <v>15</v>
          </cell>
          <cell r="E367">
            <v>3283</v>
          </cell>
        </row>
        <row r="368">
          <cell r="B368">
            <v>53776254</v>
          </cell>
          <cell r="C368" t="str">
            <v>오아멀티쉐이버-블랙</v>
          </cell>
          <cell r="D368">
            <v>5</v>
          </cell>
          <cell r="E368">
            <v>21976</v>
          </cell>
        </row>
        <row r="369">
          <cell r="B369">
            <v>50709616</v>
          </cell>
          <cell r="C369" t="str">
            <v>오아에어핸드손마사지기-화이트</v>
          </cell>
          <cell r="D369">
            <v>9</v>
          </cell>
          <cell r="E369">
            <v>58893</v>
          </cell>
        </row>
        <row r="370">
          <cell r="B370">
            <v>58084222</v>
          </cell>
          <cell r="C370" t="str">
            <v>오아덴티스윙-블랙</v>
          </cell>
          <cell r="D370">
            <v>9</v>
          </cell>
          <cell r="E370">
            <v>33433</v>
          </cell>
        </row>
        <row r="371">
          <cell r="B371">
            <v>53680118</v>
          </cell>
          <cell r="C371" t="str">
            <v>오아클린이퓨어B-화이트</v>
          </cell>
          <cell r="D371">
            <v>11</v>
          </cell>
          <cell r="E371">
            <v>14673</v>
          </cell>
        </row>
        <row r="372">
          <cell r="B372">
            <v>51689222</v>
          </cell>
          <cell r="C372" t="str">
            <v>오아라운드미니가습기-베이지</v>
          </cell>
          <cell r="D372">
            <v>22</v>
          </cell>
          <cell r="E372">
            <v>19966</v>
          </cell>
        </row>
        <row r="373">
          <cell r="B373">
            <v>13644995</v>
          </cell>
          <cell r="C373" t="str">
            <v>보아르혼요전기밥솥</v>
          </cell>
          <cell r="D373">
            <v>7</v>
          </cell>
          <cell r="E373">
            <v>30016</v>
          </cell>
        </row>
        <row r="374">
          <cell r="B374">
            <v>13004238</v>
          </cell>
          <cell r="C374" t="str">
            <v>오아엠젯가습기</v>
          </cell>
          <cell r="D374">
            <v>2</v>
          </cell>
          <cell r="E374">
            <v>71690</v>
          </cell>
        </row>
        <row r="375">
          <cell r="B375">
            <v>22119013</v>
          </cell>
          <cell r="C375" t="str">
            <v>보아르워시B-화이트</v>
          </cell>
          <cell r="D375">
            <v>5</v>
          </cell>
          <cell r="E375">
            <v>64923</v>
          </cell>
        </row>
        <row r="376">
          <cell r="B376">
            <v>52155415</v>
          </cell>
          <cell r="C376" t="str">
            <v>오아보풀리-화이트</v>
          </cell>
          <cell r="D376">
            <v>2</v>
          </cell>
          <cell r="E376">
            <v>15343</v>
          </cell>
        </row>
        <row r="377">
          <cell r="B377">
            <v>67272047</v>
          </cell>
          <cell r="C377" t="str">
            <v>오아크로멜무드등-블랙</v>
          </cell>
          <cell r="D377">
            <v>3</v>
          </cell>
          <cell r="E377">
            <v>24635</v>
          </cell>
        </row>
        <row r="378">
          <cell r="B378">
            <v>35401181</v>
          </cell>
          <cell r="C378" t="str">
            <v>오아슈퍼윈디드라이기</v>
          </cell>
          <cell r="D378">
            <v>3</v>
          </cell>
          <cell r="E378">
            <v>86430</v>
          </cell>
        </row>
        <row r="379">
          <cell r="B379">
            <v>67438488</v>
          </cell>
          <cell r="C379" t="str">
            <v>오아베이직판고데기-퍼플</v>
          </cell>
          <cell r="D379">
            <v>4</v>
          </cell>
          <cell r="E379">
            <v>23316</v>
          </cell>
        </row>
        <row r="380">
          <cell r="B380">
            <v>69292185</v>
          </cell>
          <cell r="C380" t="str">
            <v>오아퀵스트랩-클라우디블루</v>
          </cell>
          <cell r="D380">
            <v>4</v>
          </cell>
          <cell r="E380">
            <v>5963</v>
          </cell>
        </row>
        <row r="381">
          <cell r="B381">
            <v>67989839</v>
          </cell>
          <cell r="C381" t="str">
            <v>오아포터블램프S-블랙</v>
          </cell>
          <cell r="D381">
            <v>4</v>
          </cell>
          <cell r="E381">
            <v>19734</v>
          </cell>
        </row>
        <row r="382">
          <cell r="B382">
            <v>12143584</v>
          </cell>
          <cell r="C382" t="str">
            <v>보아르휘겔리펫팸필터</v>
          </cell>
          <cell r="D382">
            <v>3</v>
          </cell>
          <cell r="E382">
            <v>12998</v>
          </cell>
        </row>
        <row r="383">
          <cell r="B383">
            <v>38545387</v>
          </cell>
          <cell r="C383" t="str">
            <v>오아플렌티브릭가습기</v>
          </cell>
          <cell r="D383">
            <v>5</v>
          </cell>
          <cell r="E383">
            <v>26666</v>
          </cell>
        </row>
        <row r="384">
          <cell r="B384">
            <v>12775098</v>
          </cell>
          <cell r="C384" t="str">
            <v xml:space="preserve">오아 클린이소프트 화이트+화이트 </v>
          </cell>
          <cell r="D384">
            <v>5</v>
          </cell>
          <cell r="E384">
            <v>46632</v>
          </cell>
        </row>
        <row r="385">
          <cell r="B385">
            <v>39228155</v>
          </cell>
          <cell r="C385" t="str">
            <v>오아베이직가습기</v>
          </cell>
          <cell r="D385">
            <v>6</v>
          </cell>
          <cell r="E385">
            <v>30016</v>
          </cell>
        </row>
        <row r="386">
          <cell r="B386">
            <v>70204975</v>
          </cell>
          <cell r="C386" t="str">
            <v>오아퀵맥-메탈그레이</v>
          </cell>
          <cell r="D386">
            <v>6</v>
          </cell>
          <cell r="E386">
            <v>18693</v>
          </cell>
        </row>
        <row r="387">
          <cell r="B387">
            <v>43431417</v>
          </cell>
          <cell r="C387" t="str">
            <v>오아퀵차지팩</v>
          </cell>
          <cell r="D387">
            <v>6</v>
          </cell>
          <cell r="E387">
            <v>18626</v>
          </cell>
        </row>
        <row r="388">
          <cell r="B388">
            <v>61929494</v>
          </cell>
          <cell r="C388" t="str">
            <v>오아에어셋2-블루</v>
          </cell>
          <cell r="D388">
            <v>7</v>
          </cell>
          <cell r="E388">
            <v>85760</v>
          </cell>
        </row>
        <row r="389">
          <cell r="B389">
            <v>68934411</v>
          </cell>
          <cell r="C389" t="str">
            <v>오아포켓롤-레몬크림</v>
          </cell>
          <cell r="D389">
            <v>9</v>
          </cell>
          <cell r="E389">
            <v>25393</v>
          </cell>
        </row>
        <row r="390">
          <cell r="B390">
            <v>59082806</v>
          </cell>
          <cell r="C390" t="str">
            <v>오아클리어렌즈세척기-아이보리</v>
          </cell>
          <cell r="D390">
            <v>10</v>
          </cell>
          <cell r="E390">
            <v>21714</v>
          </cell>
        </row>
        <row r="391">
          <cell r="B391">
            <v>57592449</v>
          </cell>
          <cell r="C391" t="str">
            <v>오아무선키보드콤보-블랙</v>
          </cell>
          <cell r="D391">
            <v>11</v>
          </cell>
          <cell r="E391">
            <v>24388</v>
          </cell>
        </row>
        <row r="392">
          <cell r="B392">
            <v>14107560</v>
          </cell>
          <cell r="C392" t="str">
            <v>오아바디스팟Knee</v>
          </cell>
          <cell r="D392">
            <v>11</v>
          </cell>
          <cell r="E392">
            <v>30016</v>
          </cell>
        </row>
        <row r="393">
          <cell r="B393">
            <v>64606094</v>
          </cell>
          <cell r="C393" t="str">
            <v>보아르듀얼보풀쏙-아이보리</v>
          </cell>
          <cell r="D393">
            <v>2</v>
          </cell>
          <cell r="E393">
            <v>22043</v>
          </cell>
        </row>
        <row r="394">
          <cell r="B394">
            <v>36606823</v>
          </cell>
          <cell r="C394" t="str">
            <v>보아르TV스탠드와이드</v>
          </cell>
          <cell r="D394">
            <v>2</v>
          </cell>
          <cell r="E394">
            <v>85090</v>
          </cell>
        </row>
        <row r="395">
          <cell r="B395">
            <v>12143581</v>
          </cell>
          <cell r="C395" t="str">
            <v>보아르클린에어펫팸필터</v>
          </cell>
          <cell r="D395">
            <v>2</v>
          </cell>
          <cell r="E395">
            <v>16348</v>
          </cell>
        </row>
        <row r="396">
          <cell r="B396">
            <v>37790051</v>
          </cell>
          <cell r="C396" t="str">
            <v>보아르RB써클린먼지통용필터</v>
          </cell>
          <cell r="D396">
            <v>1</v>
          </cell>
          <cell r="E396">
            <v>5963</v>
          </cell>
        </row>
        <row r="397">
          <cell r="B397">
            <v>14473529</v>
          </cell>
          <cell r="C397" t="str">
            <v>오아 클린이펭귄 블루 + 핑크(단종예정)</v>
          </cell>
          <cell r="D397">
            <v>17</v>
          </cell>
          <cell r="E397">
            <v>15477</v>
          </cell>
        </row>
        <row r="398">
          <cell r="B398">
            <v>59759466</v>
          </cell>
          <cell r="C398" t="str">
            <v>보아르마일드에어-아이보리</v>
          </cell>
          <cell r="D398">
            <v>127</v>
          </cell>
          <cell r="E398">
            <v>112560</v>
          </cell>
        </row>
        <row r="399">
          <cell r="B399">
            <v>46543317</v>
          </cell>
          <cell r="C399" t="str">
            <v>보아르다이닝스텐전기포트</v>
          </cell>
          <cell r="D399">
            <v>20</v>
          </cell>
          <cell r="E399">
            <v>30016</v>
          </cell>
        </row>
        <row r="400">
          <cell r="B400">
            <v>38417027</v>
          </cell>
          <cell r="C400" t="str">
            <v>오아캡슐가습기</v>
          </cell>
          <cell r="D400">
            <v>2</v>
          </cell>
          <cell r="E400">
            <v>11926</v>
          </cell>
        </row>
        <row r="401">
          <cell r="B401">
            <v>16171214</v>
          </cell>
          <cell r="C401" t="str">
            <v>보아르모아파워제습기6L/7L-공용-활성탄필터</v>
          </cell>
          <cell r="D401">
            <v>13</v>
          </cell>
          <cell r="E401">
            <v>9648</v>
          </cell>
        </row>
        <row r="402">
          <cell r="B402">
            <v>55381383</v>
          </cell>
          <cell r="C402" t="str">
            <v>오아클린이워터P제트팁2p-화이트</v>
          </cell>
          <cell r="D402">
            <v>3</v>
          </cell>
          <cell r="E402">
            <v>3618</v>
          </cell>
        </row>
        <row r="403">
          <cell r="B403">
            <v>34348663</v>
          </cell>
          <cell r="C403" t="str">
            <v>오아우드led시계R</v>
          </cell>
          <cell r="D403">
            <v>6</v>
          </cell>
          <cell r="E403">
            <v>42500</v>
          </cell>
        </row>
        <row r="404">
          <cell r="B404">
            <v>39278162</v>
          </cell>
          <cell r="C404" t="str">
            <v>오아듀얼포그무선가습기</v>
          </cell>
          <cell r="D404">
            <v>6</v>
          </cell>
          <cell r="E404">
            <v>20033</v>
          </cell>
        </row>
        <row r="405">
          <cell r="B405">
            <v>68924611</v>
          </cell>
          <cell r="C405" t="str">
            <v>오아포켓롤-모닝라벤더</v>
          </cell>
          <cell r="D405">
            <v>9</v>
          </cell>
          <cell r="E405">
            <v>25393</v>
          </cell>
        </row>
        <row r="406">
          <cell r="B406">
            <v>62379668</v>
          </cell>
          <cell r="C406" t="str">
            <v>오아스윙바스-화이트</v>
          </cell>
          <cell r="D406">
            <v>10</v>
          </cell>
          <cell r="E406">
            <v>23383</v>
          </cell>
        </row>
        <row r="407">
          <cell r="B407">
            <v>64270608</v>
          </cell>
          <cell r="C407" t="str">
            <v>오아젤디스펜서-화이트</v>
          </cell>
          <cell r="D407">
            <v>11</v>
          </cell>
          <cell r="E407">
            <v>31296</v>
          </cell>
        </row>
        <row r="408">
          <cell r="B408">
            <v>60615380</v>
          </cell>
          <cell r="C408" t="str">
            <v>보아르포스C-화이트</v>
          </cell>
          <cell r="D408">
            <v>6</v>
          </cell>
          <cell r="E408">
            <v>79060</v>
          </cell>
        </row>
        <row r="409">
          <cell r="B409">
            <v>53297446</v>
          </cell>
          <cell r="C409" t="str">
            <v>보아르포스N25-화이트</v>
          </cell>
          <cell r="D409">
            <v>6</v>
          </cell>
          <cell r="E409">
            <v>92460</v>
          </cell>
        </row>
        <row r="410">
          <cell r="B410">
            <v>15838517</v>
          </cell>
          <cell r="C410" t="str">
            <v>보아르모아파워제습기16L-활성탄필터</v>
          </cell>
          <cell r="D410">
            <v>6</v>
          </cell>
          <cell r="E410">
            <v>10318</v>
          </cell>
        </row>
        <row r="411">
          <cell r="B411">
            <v>15812678</v>
          </cell>
          <cell r="C411" t="str">
            <v>보아르V에어43프리미엄필터</v>
          </cell>
          <cell r="D411">
            <v>5</v>
          </cell>
          <cell r="E411">
            <v>23048</v>
          </cell>
        </row>
        <row r="412">
          <cell r="B412">
            <v>16806254</v>
          </cell>
          <cell r="C412" t="str">
            <v>보아르포스W-블랙</v>
          </cell>
          <cell r="D412">
            <v>4</v>
          </cell>
          <cell r="E412">
            <v>173530</v>
          </cell>
        </row>
        <row r="413">
          <cell r="B413">
            <v>14878740</v>
          </cell>
          <cell r="C413" t="str">
            <v>보아르워터스핀E1-화이트</v>
          </cell>
          <cell r="D413">
            <v>4</v>
          </cell>
          <cell r="E413">
            <v>85090</v>
          </cell>
        </row>
        <row r="414">
          <cell r="B414">
            <v>41140508</v>
          </cell>
          <cell r="C414" t="str">
            <v>오아럭스라이트</v>
          </cell>
          <cell r="D414">
            <v>3</v>
          </cell>
          <cell r="E414">
            <v>24824</v>
          </cell>
        </row>
        <row r="415">
          <cell r="B415">
            <v>67988468</v>
          </cell>
          <cell r="C415" t="str">
            <v>오아포터블램프H-블랙</v>
          </cell>
          <cell r="D415">
            <v>3</v>
          </cell>
          <cell r="E415">
            <v>19734</v>
          </cell>
        </row>
        <row r="416">
          <cell r="B416">
            <v>67630646</v>
          </cell>
          <cell r="C416" t="str">
            <v>오아뮤직씽크미니가습기-화이트</v>
          </cell>
          <cell r="D416">
            <v>3</v>
          </cell>
          <cell r="E416">
            <v>25393</v>
          </cell>
        </row>
        <row r="417">
          <cell r="B417">
            <v>11092035</v>
          </cell>
          <cell r="C417" t="str">
            <v>오아에어워셔</v>
          </cell>
          <cell r="D417">
            <v>3</v>
          </cell>
          <cell r="E417">
            <v>61640</v>
          </cell>
        </row>
        <row r="418">
          <cell r="B418">
            <v>13100374</v>
          </cell>
          <cell r="C418" t="str">
            <v>오아센스S무선가습기</v>
          </cell>
          <cell r="D418">
            <v>3</v>
          </cell>
          <cell r="E418">
            <v>21842</v>
          </cell>
        </row>
        <row r="419">
          <cell r="B419">
            <v>66214618</v>
          </cell>
          <cell r="C419" t="str">
            <v>오아렛츠플레이-베이지</v>
          </cell>
          <cell r="D419">
            <v>4</v>
          </cell>
          <cell r="E419">
            <v>26666</v>
          </cell>
        </row>
        <row r="420">
          <cell r="B420">
            <v>17579662</v>
          </cell>
          <cell r="C420" t="str">
            <v>보아르포스D12-블랙</v>
          </cell>
          <cell r="D420">
            <v>2</v>
          </cell>
          <cell r="E420">
            <v>65660</v>
          </cell>
        </row>
        <row r="421">
          <cell r="B421">
            <v>61089339</v>
          </cell>
          <cell r="C421" t="str">
            <v>오아폴드Qi2-블랙</v>
          </cell>
          <cell r="D421">
            <v>5</v>
          </cell>
          <cell r="E421">
            <v>32830</v>
          </cell>
        </row>
        <row r="422">
          <cell r="B422">
            <v>62374813</v>
          </cell>
          <cell r="C422" t="str">
            <v>오아탭탭스피커-화이트</v>
          </cell>
          <cell r="D422">
            <v>5</v>
          </cell>
          <cell r="E422">
            <v>15343</v>
          </cell>
        </row>
        <row r="423">
          <cell r="B423">
            <v>12775097</v>
          </cell>
          <cell r="C423" t="str">
            <v xml:space="preserve">오아 클린이소프트 블랙+블랙  </v>
          </cell>
          <cell r="D423">
            <v>5</v>
          </cell>
          <cell r="E423">
            <v>46632</v>
          </cell>
        </row>
        <row r="424">
          <cell r="B424">
            <v>38977260</v>
          </cell>
          <cell r="C424" t="str">
            <v>오아ITO스마트체중계</v>
          </cell>
          <cell r="D424">
            <v>6</v>
          </cell>
          <cell r="E424">
            <v>28743</v>
          </cell>
        </row>
        <row r="425">
          <cell r="B425">
            <v>52155531</v>
          </cell>
          <cell r="C425" t="str">
            <v>오아에어셋거치대</v>
          </cell>
          <cell r="D425">
            <v>6</v>
          </cell>
          <cell r="E425">
            <v>10653</v>
          </cell>
        </row>
        <row r="426">
          <cell r="B426">
            <v>69292187</v>
          </cell>
          <cell r="C426" t="str">
            <v>오아퀵스트랩-샌드크림</v>
          </cell>
          <cell r="D426">
            <v>7</v>
          </cell>
          <cell r="E426">
            <v>5963</v>
          </cell>
        </row>
        <row r="427">
          <cell r="B427">
            <v>11156528</v>
          </cell>
          <cell r="C427" t="str">
            <v>오아쁘띠케어갈바닉클렌저</v>
          </cell>
          <cell r="D427">
            <v>7</v>
          </cell>
          <cell r="E427">
            <v>30016</v>
          </cell>
        </row>
        <row r="428">
          <cell r="B428">
            <v>39147133</v>
          </cell>
          <cell r="C428" t="str">
            <v>오아스마트체중계PRO</v>
          </cell>
          <cell r="D428">
            <v>7</v>
          </cell>
          <cell r="E428">
            <v>51590</v>
          </cell>
        </row>
        <row r="429">
          <cell r="B429">
            <v>42373723</v>
          </cell>
          <cell r="C429" t="str">
            <v>오아볼드클락</v>
          </cell>
          <cell r="D429">
            <v>7</v>
          </cell>
          <cell r="E429">
            <v>12474</v>
          </cell>
        </row>
        <row r="430">
          <cell r="B430">
            <v>56479851</v>
          </cell>
          <cell r="C430" t="str">
            <v>오아퀵착M-블랙</v>
          </cell>
          <cell r="D430">
            <v>7</v>
          </cell>
          <cell r="E430">
            <v>26260</v>
          </cell>
        </row>
        <row r="431">
          <cell r="B431">
            <v>61766007</v>
          </cell>
          <cell r="C431" t="str">
            <v>오아무빙볼마사지기-베이지</v>
          </cell>
          <cell r="D431">
            <v>7</v>
          </cell>
          <cell r="E431">
            <v>59630</v>
          </cell>
        </row>
        <row r="432">
          <cell r="B432">
            <v>65179405</v>
          </cell>
          <cell r="C432" t="str">
            <v>오아포그밍L와플-베이지</v>
          </cell>
          <cell r="D432">
            <v>8</v>
          </cell>
          <cell r="E432">
            <v>52930</v>
          </cell>
        </row>
        <row r="433">
          <cell r="B433">
            <v>10121189</v>
          </cell>
          <cell r="C433" t="str">
            <v>오아무선넥앤숄더-베이지</v>
          </cell>
          <cell r="D433">
            <v>11</v>
          </cell>
          <cell r="E433">
            <v>64990</v>
          </cell>
        </row>
        <row r="434">
          <cell r="B434">
            <v>13101218</v>
          </cell>
          <cell r="C434" t="str">
            <v>오아클린이소프트R-블랙</v>
          </cell>
          <cell r="D434">
            <v>12</v>
          </cell>
          <cell r="E434">
            <v>29346</v>
          </cell>
        </row>
        <row r="435">
          <cell r="B435">
            <v>75989703</v>
          </cell>
          <cell r="C435" t="str">
            <v>오아워터쉴드드라이백-어비스블랙</v>
          </cell>
          <cell r="D435">
            <v>13</v>
          </cell>
          <cell r="E435">
            <v>9858</v>
          </cell>
        </row>
        <row r="436">
          <cell r="B436">
            <v>40852278</v>
          </cell>
          <cell r="C436" t="str">
            <v>오아플렌티플렛4L</v>
          </cell>
          <cell r="D436">
            <v>13</v>
          </cell>
          <cell r="E436">
            <v>40066</v>
          </cell>
        </row>
        <row r="437">
          <cell r="B437">
            <v>60025950</v>
          </cell>
          <cell r="C437" t="str">
            <v>오아핸디썸-베이지</v>
          </cell>
          <cell r="D437">
            <v>18</v>
          </cell>
          <cell r="E437">
            <v>43416</v>
          </cell>
        </row>
        <row r="438">
          <cell r="B438">
            <v>40982029</v>
          </cell>
          <cell r="C438" t="str">
            <v>오아허그워머</v>
          </cell>
          <cell r="D438">
            <v>18</v>
          </cell>
          <cell r="E438">
            <v>23316</v>
          </cell>
        </row>
        <row r="439">
          <cell r="B439">
            <v>38676914</v>
          </cell>
          <cell r="C439" t="str">
            <v>오아포그밍전기담요</v>
          </cell>
          <cell r="D439">
            <v>99</v>
          </cell>
          <cell r="E439">
            <v>44890</v>
          </cell>
        </row>
        <row r="440">
          <cell r="B440">
            <v>15757638</v>
          </cell>
          <cell r="C440" t="str">
            <v>보아르모아스마트12L가정용대용량제습기-블랙</v>
          </cell>
          <cell r="D440">
            <v>15</v>
          </cell>
          <cell r="E440">
            <v>139360</v>
          </cell>
        </row>
        <row r="441">
          <cell r="B441">
            <v>60024864</v>
          </cell>
          <cell r="C441" t="str">
            <v>오아핸디썸라이트-베이지</v>
          </cell>
          <cell r="D441">
            <v>29</v>
          </cell>
          <cell r="E441">
            <v>18626</v>
          </cell>
        </row>
        <row r="442">
          <cell r="B442">
            <v>60023938</v>
          </cell>
          <cell r="C442" t="str">
            <v>오아컬러젯-아이보리</v>
          </cell>
          <cell r="D442">
            <v>87</v>
          </cell>
          <cell r="E442">
            <v>18626</v>
          </cell>
        </row>
        <row r="443">
          <cell r="B443">
            <v>10124384</v>
          </cell>
          <cell r="C443" t="str">
            <v>오아넥앤숄더-베이지</v>
          </cell>
          <cell r="D443">
            <v>5</v>
          </cell>
          <cell r="E443">
            <v>52193</v>
          </cell>
        </row>
        <row r="444">
          <cell r="B444">
            <v>34991467</v>
          </cell>
          <cell r="C444" t="str">
            <v>오아미케무드등</v>
          </cell>
          <cell r="D444">
            <v>7</v>
          </cell>
          <cell r="E444">
            <v>22850</v>
          </cell>
        </row>
        <row r="445">
          <cell r="B445">
            <v>43571361</v>
          </cell>
          <cell r="C445" t="str">
            <v>오아콤비팬-베이지</v>
          </cell>
          <cell r="D445">
            <v>64</v>
          </cell>
          <cell r="E445">
            <v>11926</v>
          </cell>
        </row>
        <row r="446">
          <cell r="B446">
            <v>36811023</v>
          </cell>
          <cell r="C446" t="str">
            <v>오아디머무드등-화이트</v>
          </cell>
          <cell r="D446">
            <v>2</v>
          </cell>
          <cell r="E446">
            <v>28000</v>
          </cell>
        </row>
        <row r="447">
          <cell r="B447">
            <v>35896315</v>
          </cell>
          <cell r="C447" t="str">
            <v>오아레트로블루투스스피커</v>
          </cell>
          <cell r="D447">
            <v>3</v>
          </cell>
          <cell r="E447">
            <v>23316</v>
          </cell>
        </row>
        <row r="448">
          <cell r="B448">
            <v>34352694</v>
          </cell>
          <cell r="C448" t="str">
            <v>오아꿀벌팬선풍기</v>
          </cell>
          <cell r="D448">
            <v>11</v>
          </cell>
          <cell r="E448">
            <v>8643</v>
          </cell>
        </row>
        <row r="449">
          <cell r="B449">
            <v>43571360</v>
          </cell>
          <cell r="C449" t="str">
            <v>오아콤비팬-화이트</v>
          </cell>
          <cell r="D449">
            <v>24</v>
          </cell>
          <cell r="E449">
            <v>11926</v>
          </cell>
        </row>
        <row r="450">
          <cell r="B450">
            <v>55275736</v>
          </cell>
          <cell r="C450" t="str">
            <v>오아홈큐리티-화이트</v>
          </cell>
          <cell r="D450">
            <v>0</v>
          </cell>
          <cell r="E450">
            <v>52260</v>
          </cell>
        </row>
        <row r="451">
          <cell r="B451">
            <v>38407975</v>
          </cell>
          <cell r="C451" t="str">
            <v>오아플렌티큐브가습기</v>
          </cell>
          <cell r="D451">
            <v>2</v>
          </cell>
          <cell r="E451">
            <v>30016</v>
          </cell>
        </row>
        <row r="452">
          <cell r="B452">
            <v>20341619</v>
          </cell>
          <cell r="C452" t="str">
            <v>오아도트플러스가습기</v>
          </cell>
          <cell r="D452">
            <v>3</v>
          </cell>
          <cell r="E452">
            <v>64990</v>
          </cell>
        </row>
        <row r="453">
          <cell r="B453">
            <v>29266932</v>
          </cell>
          <cell r="C453" t="str">
            <v>오아IoT플러스가습기</v>
          </cell>
          <cell r="D453">
            <v>4</v>
          </cell>
          <cell r="E453">
            <v>38056</v>
          </cell>
        </row>
        <row r="454">
          <cell r="B454">
            <v>38659485</v>
          </cell>
          <cell r="C454" t="str">
            <v>오아플렌티무드가습기</v>
          </cell>
          <cell r="D454">
            <v>6</v>
          </cell>
          <cell r="E454">
            <v>36046</v>
          </cell>
        </row>
        <row r="455">
          <cell r="B455">
            <v>34801754</v>
          </cell>
          <cell r="C455" t="str">
            <v>오아이지네일드릴</v>
          </cell>
          <cell r="D455">
            <v>0</v>
          </cell>
          <cell r="E455">
            <v>23436</v>
          </cell>
        </row>
        <row r="456">
          <cell r="B456">
            <v>37639889</v>
          </cell>
          <cell r="C456" t="str">
            <v>오아코털제거기PRO</v>
          </cell>
          <cell r="D456">
            <v>0</v>
          </cell>
          <cell r="E456">
            <v>16368</v>
          </cell>
        </row>
        <row r="457">
          <cell r="B457">
            <v>59199875</v>
          </cell>
          <cell r="C457" t="str">
            <v>오아제로버그-화이트</v>
          </cell>
          <cell r="D457">
            <v>65</v>
          </cell>
          <cell r="E457">
            <v>26666</v>
          </cell>
        </row>
        <row r="458">
          <cell r="B458">
            <v>34535085</v>
          </cell>
          <cell r="C458" t="str">
            <v>오아우드led시계S</v>
          </cell>
          <cell r="D458">
            <v>4</v>
          </cell>
          <cell r="E458">
            <v>42500</v>
          </cell>
        </row>
        <row r="459">
          <cell r="B459">
            <v>61044622</v>
          </cell>
          <cell r="C459" t="str">
            <v>오아뷰티LED거울-화이트</v>
          </cell>
          <cell r="D459">
            <v>6</v>
          </cell>
          <cell r="E459">
            <v>12935</v>
          </cell>
        </row>
        <row r="460">
          <cell r="B460">
            <v>61879892</v>
          </cell>
          <cell r="C460" t="str">
            <v>오아몬스터M케이블-블랙</v>
          </cell>
          <cell r="D460">
            <v>11</v>
          </cell>
          <cell r="E460">
            <v>5226</v>
          </cell>
        </row>
        <row r="461">
          <cell r="B461">
            <v>52211558</v>
          </cell>
          <cell r="C461" t="str">
            <v>오아투게더헤드폰-아이보리</v>
          </cell>
          <cell r="D461">
            <v>9</v>
          </cell>
          <cell r="E461">
            <v>21976</v>
          </cell>
        </row>
        <row r="462">
          <cell r="B462">
            <v>15414324</v>
          </cell>
          <cell r="C462" t="str">
            <v>오아아이콕</v>
          </cell>
          <cell r="D462">
            <v>7</v>
          </cell>
          <cell r="E462">
            <v>25326</v>
          </cell>
        </row>
        <row r="463">
          <cell r="B463">
            <v>40185196</v>
          </cell>
          <cell r="C463" t="str">
            <v>오아클린프로</v>
          </cell>
          <cell r="D463">
            <v>17</v>
          </cell>
          <cell r="E463">
            <v>48500</v>
          </cell>
        </row>
        <row r="464">
          <cell r="B464">
            <v>62421723</v>
          </cell>
          <cell r="C464" t="str">
            <v>오아탭탭스피커-옐로우</v>
          </cell>
          <cell r="D464">
            <v>3</v>
          </cell>
          <cell r="E464">
            <v>15343</v>
          </cell>
        </row>
        <row r="465">
          <cell r="B465">
            <v>67974104</v>
          </cell>
          <cell r="C465" t="str">
            <v>오아촛불후스피커-핑크</v>
          </cell>
          <cell r="D465">
            <v>8</v>
          </cell>
          <cell r="E465">
            <v>13333</v>
          </cell>
        </row>
        <row r="466">
          <cell r="B466">
            <v>52872566</v>
          </cell>
          <cell r="C466" t="str">
            <v>오아포그밍L전기담요-네이비</v>
          </cell>
          <cell r="D466">
            <v>27</v>
          </cell>
          <cell r="E466">
            <v>51590</v>
          </cell>
        </row>
        <row r="467">
          <cell r="B467">
            <v>39071990</v>
          </cell>
          <cell r="C467" t="str">
            <v>오아클린보틀-필터</v>
          </cell>
          <cell r="D467">
            <v>3</v>
          </cell>
          <cell r="E467">
            <v>3953</v>
          </cell>
        </row>
        <row r="468">
          <cell r="B468">
            <v>53052265</v>
          </cell>
          <cell r="C468" t="str">
            <v>오아글라스팀가열식가습기-화이트</v>
          </cell>
          <cell r="D468">
            <v>4</v>
          </cell>
          <cell r="E468">
            <v>64990</v>
          </cell>
        </row>
        <row r="469">
          <cell r="B469">
            <v>65934564</v>
          </cell>
          <cell r="C469" t="str">
            <v>오아듀얼미스트맥스-차콜스톤</v>
          </cell>
          <cell r="D469">
            <v>8</v>
          </cell>
          <cell r="E469">
            <v>26666</v>
          </cell>
        </row>
        <row r="470">
          <cell r="B470">
            <v>67268350</v>
          </cell>
          <cell r="C470" t="str">
            <v>오아플로비-피치오렌지</v>
          </cell>
          <cell r="D470">
            <v>4</v>
          </cell>
          <cell r="E470">
            <v>29185</v>
          </cell>
        </row>
        <row r="471">
          <cell r="B471">
            <v>67268348</v>
          </cell>
          <cell r="C471" t="str">
            <v>오아플로비-선샤인옐로우</v>
          </cell>
          <cell r="D471">
            <v>4</v>
          </cell>
          <cell r="E471">
            <v>29185</v>
          </cell>
        </row>
        <row r="472">
          <cell r="B472">
            <v>67268341</v>
          </cell>
          <cell r="C472" t="str">
            <v>오아플로비-에메랄드그린</v>
          </cell>
          <cell r="D472">
            <v>4</v>
          </cell>
          <cell r="E472">
            <v>29185</v>
          </cell>
        </row>
        <row r="473">
          <cell r="B473">
            <v>67268349</v>
          </cell>
          <cell r="C473" t="str">
            <v>오아플로비-버블핑크</v>
          </cell>
          <cell r="D473">
            <v>9</v>
          </cell>
          <cell r="E473">
            <v>29185</v>
          </cell>
        </row>
        <row r="474">
          <cell r="B474">
            <v>65181042</v>
          </cell>
          <cell r="C474" t="str">
            <v>오아포그밍L코듀-라떼</v>
          </cell>
          <cell r="D474">
            <v>7</v>
          </cell>
          <cell r="E474">
            <v>66330</v>
          </cell>
        </row>
        <row r="475">
          <cell r="B475">
            <v>40102936</v>
          </cell>
          <cell r="C475" t="str">
            <v>오아라운드PTC히터</v>
          </cell>
          <cell r="D475">
            <v>0</v>
          </cell>
          <cell r="E475">
            <v>26666</v>
          </cell>
        </row>
        <row r="476">
          <cell r="B476">
            <v>55449180</v>
          </cell>
          <cell r="C476" t="str">
            <v>오아클린스톰-먼지필터</v>
          </cell>
          <cell r="D476">
            <v>0</v>
          </cell>
          <cell r="E476">
            <v>3618</v>
          </cell>
        </row>
        <row r="477">
          <cell r="B477">
            <v>35876282</v>
          </cell>
          <cell r="C477" t="str">
            <v>오아넥큐어겔패드</v>
          </cell>
          <cell r="D477">
            <v>0</v>
          </cell>
          <cell r="E477">
            <v>3953</v>
          </cell>
        </row>
        <row r="478">
          <cell r="B478">
            <v>51623281</v>
          </cell>
          <cell r="C478" t="str">
            <v>오아클린이워터전용제트팁2P-(B/B-UV/D/F/Z)</v>
          </cell>
          <cell r="D478">
            <v>0</v>
          </cell>
          <cell r="E478">
            <v>3283</v>
          </cell>
        </row>
        <row r="479">
          <cell r="B479">
            <v>32548061</v>
          </cell>
          <cell r="C479" t="str">
            <v>오아센스S무선가습기필터</v>
          </cell>
          <cell r="D479">
            <v>0</v>
          </cell>
          <cell r="E479">
            <v>4623</v>
          </cell>
        </row>
        <row r="480">
          <cell r="B480">
            <v>71042279</v>
          </cell>
          <cell r="C480" t="str">
            <v>오아클린이베어칫솔모2p</v>
          </cell>
          <cell r="D480">
            <v>1</v>
          </cell>
          <cell r="E480">
            <v>3283</v>
          </cell>
        </row>
        <row r="481">
          <cell r="B481">
            <v>55609278</v>
          </cell>
          <cell r="C481" t="str">
            <v>오아클린이워터P5종팁세트-화이트</v>
          </cell>
          <cell r="D481">
            <v>2</v>
          </cell>
          <cell r="E481">
            <v>6298</v>
          </cell>
        </row>
        <row r="482">
          <cell r="B482">
            <v>66217025</v>
          </cell>
          <cell r="C482" t="str">
            <v>오아렛츠플레이-블랙</v>
          </cell>
          <cell r="D482">
            <v>3</v>
          </cell>
          <cell r="E482">
            <v>26666</v>
          </cell>
        </row>
        <row r="483">
          <cell r="B483">
            <v>66850322</v>
          </cell>
          <cell r="C483" t="str">
            <v>오아캔디핸디난로-베이지</v>
          </cell>
          <cell r="D483">
            <v>3</v>
          </cell>
          <cell r="E483">
            <v>15343</v>
          </cell>
        </row>
        <row r="484">
          <cell r="B484">
            <v>51883980</v>
          </cell>
          <cell r="C484" t="str">
            <v>오아플렌티에어워셔전용필터</v>
          </cell>
          <cell r="D484">
            <v>4</v>
          </cell>
          <cell r="E484">
            <v>12328</v>
          </cell>
        </row>
        <row r="485">
          <cell r="B485">
            <v>65657039</v>
          </cell>
          <cell r="C485" t="str">
            <v>보아르플라미오히터-아이보리</v>
          </cell>
          <cell r="D485">
            <v>6</v>
          </cell>
          <cell r="E485">
            <v>133330</v>
          </cell>
        </row>
        <row r="486">
          <cell r="B486">
            <v>39006854</v>
          </cell>
          <cell r="C486" t="str">
            <v>오아도트가습기전용필터</v>
          </cell>
          <cell r="D486">
            <v>4</v>
          </cell>
          <cell r="E486">
            <v>4623</v>
          </cell>
        </row>
        <row r="487">
          <cell r="B487">
            <v>39006857</v>
          </cell>
          <cell r="C487" t="str">
            <v>오아도트플러스가습기전용필터</v>
          </cell>
          <cell r="D487">
            <v>4</v>
          </cell>
          <cell r="E487">
            <v>4623</v>
          </cell>
        </row>
        <row r="488">
          <cell r="B488">
            <v>39415252</v>
          </cell>
          <cell r="C488" t="str">
            <v>오아플렌티스팀3L</v>
          </cell>
          <cell r="D488">
            <v>4</v>
          </cell>
          <cell r="E488">
            <v>72360</v>
          </cell>
        </row>
        <row r="489">
          <cell r="B489">
            <v>19213859</v>
          </cell>
          <cell r="C489" t="str">
            <v>오아타워가습기</v>
          </cell>
          <cell r="D489">
            <v>5</v>
          </cell>
          <cell r="E489">
            <v>85090</v>
          </cell>
        </row>
        <row r="490">
          <cell r="B490">
            <v>11104533</v>
          </cell>
          <cell r="C490" t="str">
            <v>오아손편한세상</v>
          </cell>
          <cell r="D490">
            <v>6</v>
          </cell>
          <cell r="E490">
            <v>51590</v>
          </cell>
        </row>
        <row r="491">
          <cell r="B491">
            <v>66046959</v>
          </cell>
          <cell r="C491" t="str">
            <v>오아퓨어탱크-화이트</v>
          </cell>
          <cell r="D491">
            <v>7</v>
          </cell>
          <cell r="E491">
            <v>43483</v>
          </cell>
        </row>
        <row r="492">
          <cell r="B492">
            <v>29280326</v>
          </cell>
          <cell r="C492" t="str">
            <v>오아스퀘어미니발난로-화이트</v>
          </cell>
          <cell r="D492">
            <v>7</v>
          </cell>
          <cell r="E492">
            <v>20033</v>
          </cell>
        </row>
        <row r="493">
          <cell r="B493">
            <v>52613211</v>
          </cell>
          <cell r="C493" t="str">
            <v>오아스퀘어에어워셔</v>
          </cell>
          <cell r="D493">
            <v>7</v>
          </cell>
          <cell r="E493">
            <v>66330</v>
          </cell>
        </row>
        <row r="494">
          <cell r="B494">
            <v>52217000</v>
          </cell>
          <cell r="C494" t="str">
            <v>오아투게더헤드폰-블랙</v>
          </cell>
          <cell r="D494">
            <v>9</v>
          </cell>
          <cell r="E494">
            <v>21976</v>
          </cell>
        </row>
        <row r="495">
          <cell r="B495">
            <v>51684787</v>
          </cell>
          <cell r="C495" t="str">
            <v>오아플렌티에어워셔-아이보리</v>
          </cell>
          <cell r="D495">
            <v>10</v>
          </cell>
          <cell r="E495">
            <v>79060</v>
          </cell>
        </row>
        <row r="496">
          <cell r="B496">
            <v>55369678</v>
          </cell>
          <cell r="C496" t="str">
            <v>오아오버스퀘어오방난로-화이트</v>
          </cell>
          <cell r="D496">
            <v>11</v>
          </cell>
          <cell r="E496">
            <v>46833</v>
          </cell>
        </row>
        <row r="497">
          <cell r="B497">
            <v>65933937</v>
          </cell>
          <cell r="C497" t="str">
            <v>오아듀얼미스트맥스-클라우디블루</v>
          </cell>
          <cell r="D497">
            <v>12</v>
          </cell>
          <cell r="E497">
            <v>26666</v>
          </cell>
        </row>
        <row r="498">
          <cell r="B498">
            <v>39006855</v>
          </cell>
          <cell r="C498" t="str">
            <v>오아엠젯가습기전용필터</v>
          </cell>
          <cell r="D498">
            <v>12</v>
          </cell>
          <cell r="E498">
            <v>4623</v>
          </cell>
        </row>
        <row r="499">
          <cell r="B499">
            <v>52581507</v>
          </cell>
          <cell r="C499" t="str">
            <v>오아볼록핸디난로-아이보리</v>
          </cell>
          <cell r="D499">
            <v>13</v>
          </cell>
          <cell r="E499">
            <v>18626</v>
          </cell>
        </row>
        <row r="500">
          <cell r="B500">
            <v>66864708</v>
          </cell>
          <cell r="C500" t="str">
            <v>오아캔디핸디난로-민트</v>
          </cell>
          <cell r="D500">
            <v>15</v>
          </cell>
          <cell r="E500">
            <v>15343</v>
          </cell>
        </row>
        <row r="501">
          <cell r="B501">
            <v>38412101</v>
          </cell>
          <cell r="C501" t="str">
            <v>오아쏙핸디난로</v>
          </cell>
          <cell r="D501">
            <v>17</v>
          </cell>
          <cell r="E501">
            <v>16616</v>
          </cell>
        </row>
        <row r="502">
          <cell r="B502">
            <v>52578670</v>
          </cell>
          <cell r="C502" t="str">
            <v>오아스퀘어에어워셔전용필터</v>
          </cell>
          <cell r="D502">
            <v>18</v>
          </cell>
          <cell r="E502">
            <v>9313</v>
          </cell>
        </row>
        <row r="503">
          <cell r="B503">
            <v>3636925</v>
          </cell>
          <cell r="C503" t="str">
            <v>오아안개가습기500</v>
          </cell>
          <cell r="D503">
            <v>19</v>
          </cell>
          <cell r="E503">
            <v>25326</v>
          </cell>
        </row>
        <row r="504">
          <cell r="B504">
            <v>38490170</v>
          </cell>
          <cell r="C504" t="str">
            <v>오아스퀘어미니가습기-화이트</v>
          </cell>
          <cell r="D504">
            <v>45</v>
          </cell>
          <cell r="E504">
            <v>14606</v>
          </cell>
        </row>
        <row r="505">
          <cell r="B505">
            <v>30405071</v>
          </cell>
          <cell r="C505" t="str">
            <v>보아르푸드클리너제로</v>
          </cell>
          <cell r="D505">
            <v>5</v>
          </cell>
          <cell r="E505">
            <v>232490</v>
          </cell>
        </row>
        <row r="506">
          <cell r="B506">
            <v>65566541</v>
          </cell>
          <cell r="C506" t="str">
            <v>보아르더글라스가열식가습기-화이트</v>
          </cell>
          <cell r="D506">
            <v>5</v>
          </cell>
          <cell r="E506">
            <v>99830</v>
          </cell>
        </row>
        <row r="507">
          <cell r="B507">
            <v>15702671</v>
          </cell>
          <cell r="C507" t="str">
            <v>보아르RD스핀-물걸레패드</v>
          </cell>
          <cell r="D507">
            <v>5</v>
          </cell>
          <cell r="E507">
            <v>3953</v>
          </cell>
        </row>
        <row r="508">
          <cell r="B508">
            <v>39384055</v>
          </cell>
          <cell r="C508" t="str">
            <v>보아르퓨어스텐</v>
          </cell>
          <cell r="D508">
            <v>4</v>
          </cell>
          <cell r="E508">
            <v>22511</v>
          </cell>
        </row>
        <row r="509">
          <cell r="B509">
            <v>11192165</v>
          </cell>
          <cell r="C509" t="str">
            <v>보아르클린에어프리미엄필터</v>
          </cell>
          <cell r="D509">
            <v>4</v>
          </cell>
          <cell r="E509">
            <v>16348</v>
          </cell>
        </row>
        <row r="510">
          <cell r="B510">
            <v>64846264</v>
          </cell>
          <cell r="C510" t="str">
            <v>보아르아가퓨어UV젖병소독기-화이트</v>
          </cell>
          <cell r="D510">
            <v>4</v>
          </cell>
          <cell r="E510">
            <v>166830</v>
          </cell>
        </row>
        <row r="511">
          <cell r="B511">
            <v>37594934</v>
          </cell>
          <cell r="C511" t="str">
            <v>보아르RD스핀-회전브러시</v>
          </cell>
          <cell r="D511">
            <v>4</v>
          </cell>
          <cell r="E511">
            <v>3283</v>
          </cell>
        </row>
        <row r="512">
          <cell r="B512">
            <v>65656468</v>
          </cell>
          <cell r="C512" t="str">
            <v>보아르모노라운드히터-화이트</v>
          </cell>
          <cell r="D512">
            <v>4</v>
          </cell>
          <cell r="E512">
            <v>73030</v>
          </cell>
        </row>
        <row r="513">
          <cell r="B513">
            <v>48449253</v>
          </cell>
          <cell r="C513" t="str">
            <v>보아르웰빈두유제조기</v>
          </cell>
          <cell r="D513">
            <v>3</v>
          </cell>
          <cell r="E513">
            <v>39530</v>
          </cell>
        </row>
        <row r="514">
          <cell r="B514">
            <v>10929274</v>
          </cell>
          <cell r="C514" t="str">
            <v>보아르미니멀전기히터-그린</v>
          </cell>
          <cell r="D514">
            <v>3</v>
          </cell>
          <cell r="E514">
            <v>24053</v>
          </cell>
        </row>
        <row r="515">
          <cell r="B515">
            <v>66607099</v>
          </cell>
          <cell r="C515" t="str">
            <v>보아르웜시스타워형히터-화이트</v>
          </cell>
          <cell r="D515">
            <v>3</v>
          </cell>
          <cell r="E515">
            <v>66330</v>
          </cell>
        </row>
        <row r="516">
          <cell r="B516">
            <v>12673238</v>
          </cell>
          <cell r="C516" t="str">
            <v>보아르포스D14침구브러시-화이트</v>
          </cell>
          <cell r="D516">
            <v>3</v>
          </cell>
          <cell r="E516">
            <v>10653</v>
          </cell>
        </row>
        <row r="517">
          <cell r="B517">
            <v>58505144</v>
          </cell>
          <cell r="C517" t="str">
            <v>보아르터보스티머-아이보리</v>
          </cell>
          <cell r="D517">
            <v>0</v>
          </cell>
          <cell r="E517">
            <v>30016</v>
          </cell>
        </row>
        <row r="518">
          <cell r="B518">
            <v>10929273</v>
          </cell>
          <cell r="C518" t="str">
            <v>보아르미니멀전기히터-화이트</v>
          </cell>
          <cell r="D518">
            <v>0</v>
          </cell>
          <cell r="E518">
            <v>24053</v>
          </cell>
        </row>
        <row r="519">
          <cell r="B519">
            <v>15831347</v>
          </cell>
          <cell r="C519" t="str">
            <v>보아르V에어67프리미엄필터</v>
          </cell>
          <cell r="D519">
            <v>0</v>
          </cell>
          <cell r="E519">
            <v>26398</v>
          </cell>
        </row>
        <row r="520">
          <cell r="B520">
            <v>76533940</v>
          </cell>
          <cell r="C520" t="str">
            <v>보아르컴플릿M20L쓰레기통-베이지</v>
          </cell>
          <cell r="D520">
            <v>0</v>
          </cell>
          <cell r="E520">
            <v>50932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</sheetPr>
  <dimension ref="B1:Q1048407"/>
  <sheetViews>
    <sheetView tabSelected="1" zoomScaleNormal="100" workbookViewId="0">
      <pane xSplit="7" ySplit="4" topLeftCell="H5" activePane="bottomRight" state="frozen"/>
      <selection pane="topRight" activeCell="E1" sqref="E1"/>
      <selection pane="bottomLeft" activeCell="A4" sqref="A4"/>
      <selection pane="bottomRight" activeCell="K16" sqref="K16"/>
    </sheetView>
  </sheetViews>
  <sheetFormatPr defaultRowHeight="13.5" x14ac:dyDescent="0.3"/>
  <cols>
    <col min="1" max="1" width="9" style="3"/>
    <col min="2" max="2" width="9.125" style="3" bestFit="1" customWidth="1"/>
    <col min="3" max="3" width="13.125" style="3" bestFit="1" customWidth="1"/>
    <col min="4" max="4" width="10.375" style="3" customWidth="1"/>
    <col min="5" max="5" width="12.75" style="3" bestFit="1" customWidth="1"/>
    <col min="6" max="6" width="8" style="3" bestFit="1" customWidth="1"/>
    <col min="7" max="7" width="34.375" style="3" bestFit="1" customWidth="1"/>
    <col min="8" max="8" width="25.375" style="3" customWidth="1"/>
    <col min="9" max="9" width="11.5" style="3" bestFit="1" customWidth="1"/>
    <col min="10" max="10" width="11.25" style="22" bestFit="1" customWidth="1"/>
    <col min="11" max="11" width="12.75" style="22" bestFit="1" customWidth="1"/>
    <col min="12" max="12" width="9.125" style="3" bestFit="1" customWidth="1"/>
    <col min="13" max="13" width="13.75" style="3" bestFit="1" customWidth="1"/>
    <col min="14" max="15" width="13.75" style="3" customWidth="1"/>
    <col min="16" max="16" width="16.375" style="3" bestFit="1" customWidth="1"/>
    <col min="17" max="17" width="22.875" style="3" bestFit="1" customWidth="1"/>
    <col min="18" max="16384" width="9" style="3"/>
  </cols>
  <sheetData>
    <row r="1" spans="2:17" ht="16.5" customHeight="1" x14ac:dyDescent="0.3">
      <c r="B1" s="118" t="s">
        <v>42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20"/>
      <c r="O1" s="120"/>
      <c r="P1" s="121"/>
    </row>
    <row r="2" spans="2:17" ht="16.5" customHeight="1" thickBot="1" x14ac:dyDescent="0.35">
      <c r="B2" s="122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4"/>
      <c r="O2" s="124"/>
      <c r="P2" s="125"/>
    </row>
    <row r="3" spans="2:17" ht="16.5" customHeight="1" x14ac:dyDescent="0.3">
      <c r="B3" s="66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8"/>
      <c r="O3" s="68"/>
      <c r="P3" s="68"/>
    </row>
    <row r="4" spans="2:17" ht="14.25" thickBot="1" x14ac:dyDescent="0.35">
      <c r="B4" s="4"/>
      <c r="C4" s="4"/>
      <c r="D4" s="4" t="s">
        <v>58</v>
      </c>
      <c r="E4" s="4" t="s">
        <v>107</v>
      </c>
      <c r="F4" s="4" t="s">
        <v>138</v>
      </c>
      <c r="G4" s="4" t="s">
        <v>5</v>
      </c>
      <c r="H4" s="4" t="s">
        <v>141</v>
      </c>
      <c r="I4" s="4" t="s">
        <v>3</v>
      </c>
      <c r="J4" s="5" t="s">
        <v>203</v>
      </c>
      <c r="K4" s="5" t="s">
        <v>4</v>
      </c>
      <c r="L4" s="4" t="s">
        <v>6</v>
      </c>
      <c r="M4" s="4" t="s">
        <v>140</v>
      </c>
      <c r="N4" s="4" t="s">
        <v>204</v>
      </c>
      <c r="O4" s="4" t="s">
        <v>208</v>
      </c>
      <c r="P4" s="4" t="s">
        <v>209</v>
      </c>
    </row>
    <row r="5" spans="2:17" x14ac:dyDescent="0.25">
      <c r="B5" s="126" t="s">
        <v>28</v>
      </c>
      <c r="C5" s="130" t="s">
        <v>56</v>
      </c>
      <c r="D5" s="142" t="s">
        <v>59</v>
      </c>
      <c r="E5" s="6">
        <v>65934564</v>
      </c>
      <c r="F5" s="6" t="s">
        <v>139</v>
      </c>
      <c r="G5" s="28" t="s">
        <v>70</v>
      </c>
      <c r="H5" s="64" t="s">
        <v>142</v>
      </c>
      <c r="I5" s="34">
        <v>39800</v>
      </c>
      <c r="J5" s="35">
        <f>IFERROR(VLOOKUP(E5,'[1]8월 출고'!$B:$E,4,0),0)</f>
        <v>26666</v>
      </c>
      <c r="K5" s="31">
        <v>18800</v>
      </c>
      <c r="L5" s="32">
        <v>888</v>
      </c>
      <c r="M5" s="33">
        <v>8</v>
      </c>
      <c r="N5" s="69" t="s">
        <v>205</v>
      </c>
      <c r="O5" s="69">
        <v>100</v>
      </c>
      <c r="P5" s="84">
        <v>100</v>
      </c>
    </row>
    <row r="6" spans="2:17" x14ac:dyDescent="0.25">
      <c r="B6" s="127"/>
      <c r="C6" s="131"/>
      <c r="D6" s="143"/>
      <c r="E6" s="83">
        <v>65935700</v>
      </c>
      <c r="F6" s="6" t="s">
        <v>139</v>
      </c>
      <c r="G6" s="2" t="s">
        <v>210</v>
      </c>
      <c r="H6" s="64" t="s">
        <v>142</v>
      </c>
      <c r="I6" s="34">
        <v>39801</v>
      </c>
      <c r="J6" s="35">
        <f>IFERROR(VLOOKUP(E6,'[1]8월 출고'!$B:$E,4,0),0)</f>
        <v>26666</v>
      </c>
      <c r="K6" s="31">
        <v>18800</v>
      </c>
      <c r="L6" s="32">
        <v>888</v>
      </c>
      <c r="M6" s="33">
        <v>17</v>
      </c>
      <c r="N6" s="69" t="s">
        <v>207</v>
      </c>
      <c r="O6" s="69">
        <v>100</v>
      </c>
      <c r="P6" s="84">
        <v>100</v>
      </c>
    </row>
    <row r="7" spans="2:17" x14ac:dyDescent="0.25">
      <c r="B7" s="127"/>
      <c r="C7" s="131"/>
      <c r="D7" s="143"/>
      <c r="E7" s="83">
        <v>65933937</v>
      </c>
      <c r="F7" s="6" t="s">
        <v>139</v>
      </c>
      <c r="G7" s="2" t="s">
        <v>211</v>
      </c>
      <c r="H7" s="64" t="s">
        <v>142</v>
      </c>
      <c r="I7" s="34">
        <v>39802</v>
      </c>
      <c r="J7" s="35">
        <f>IFERROR(VLOOKUP(E7,'[1]8월 출고'!$B:$E,4,0),0)</f>
        <v>26666</v>
      </c>
      <c r="K7" s="31">
        <v>18800</v>
      </c>
      <c r="L7" s="32">
        <v>888</v>
      </c>
      <c r="M7" s="33">
        <v>12</v>
      </c>
      <c r="N7" s="69" t="s">
        <v>207</v>
      </c>
      <c r="O7" s="69">
        <v>100</v>
      </c>
      <c r="P7" s="84">
        <v>100</v>
      </c>
    </row>
    <row r="8" spans="2:17" x14ac:dyDescent="0.25">
      <c r="B8" s="128"/>
      <c r="C8" s="132"/>
      <c r="D8" s="143"/>
      <c r="E8" s="6">
        <v>65179405</v>
      </c>
      <c r="F8" s="6" t="s">
        <v>139</v>
      </c>
      <c r="G8" s="29" t="s">
        <v>71</v>
      </c>
      <c r="H8" s="64" t="s">
        <v>143</v>
      </c>
      <c r="I8" s="30">
        <v>78000</v>
      </c>
      <c r="J8" s="35">
        <f>IFERROR(VLOOKUP(E8,'[1]8월 출고'!$B:$E,4,0),0)</f>
        <v>52930</v>
      </c>
      <c r="K8" s="31">
        <v>44800</v>
      </c>
      <c r="L8" s="32">
        <v>888</v>
      </c>
      <c r="M8" s="33">
        <v>8</v>
      </c>
      <c r="N8" s="69" t="s">
        <v>205</v>
      </c>
      <c r="O8" s="69">
        <v>50</v>
      </c>
      <c r="P8" s="84">
        <v>50</v>
      </c>
    </row>
    <row r="9" spans="2:17" x14ac:dyDescent="0.25">
      <c r="B9" s="128"/>
      <c r="C9" s="132"/>
      <c r="D9" s="143"/>
      <c r="E9" s="6">
        <v>40852278</v>
      </c>
      <c r="F9" s="6" t="s">
        <v>139</v>
      </c>
      <c r="G9" s="25" t="s">
        <v>16</v>
      </c>
      <c r="H9" s="64" t="s">
        <v>144</v>
      </c>
      <c r="I9" s="34">
        <v>64800</v>
      </c>
      <c r="J9" s="35">
        <f>IFERROR(VLOOKUP(E9,'[1]8월 출고'!$B:$E,4,0),0)</f>
        <v>40066</v>
      </c>
      <c r="K9" s="31">
        <v>38800</v>
      </c>
      <c r="L9" s="32">
        <v>888</v>
      </c>
      <c r="M9" s="33">
        <v>13</v>
      </c>
      <c r="N9" s="69">
        <v>89</v>
      </c>
      <c r="O9" s="69">
        <v>100</v>
      </c>
      <c r="P9" s="84">
        <v>100</v>
      </c>
    </row>
    <row r="10" spans="2:17" x14ac:dyDescent="0.25">
      <c r="B10" s="128"/>
      <c r="C10" s="132"/>
      <c r="D10" s="143"/>
      <c r="E10" s="6">
        <v>39415252</v>
      </c>
      <c r="F10" s="6" t="s">
        <v>139</v>
      </c>
      <c r="G10" s="25" t="s">
        <v>17</v>
      </c>
      <c r="H10" s="64" t="s">
        <v>145</v>
      </c>
      <c r="I10" s="34">
        <v>128000</v>
      </c>
      <c r="J10" s="35">
        <f>IFERROR(VLOOKUP(E10,'[1]8월 출고'!$B:$E,4,0),0)</f>
        <v>72360</v>
      </c>
      <c r="K10" s="31">
        <v>58800</v>
      </c>
      <c r="L10" s="32">
        <v>888</v>
      </c>
      <c r="M10" s="33">
        <v>4</v>
      </c>
      <c r="N10" s="69">
        <v>72</v>
      </c>
      <c r="O10" s="69">
        <v>50</v>
      </c>
      <c r="P10" s="84">
        <v>100</v>
      </c>
    </row>
    <row r="11" spans="2:17" x14ac:dyDescent="0.25">
      <c r="B11" s="128"/>
      <c r="C11" s="132"/>
      <c r="D11" s="143"/>
      <c r="E11" s="6">
        <v>52874174</v>
      </c>
      <c r="F11" s="6" t="s">
        <v>139</v>
      </c>
      <c r="G11" s="25" t="s">
        <v>102</v>
      </c>
      <c r="H11" s="64" t="s">
        <v>146</v>
      </c>
      <c r="I11" s="34">
        <v>39800</v>
      </c>
      <c r="J11" s="35">
        <f>IFERROR(VLOOKUP(E11,'[1]8월 출고'!$B:$E,4,0),0)</f>
        <v>26666</v>
      </c>
      <c r="K11" s="31">
        <v>19800</v>
      </c>
      <c r="L11" s="32">
        <v>888</v>
      </c>
      <c r="M11" s="33">
        <v>21</v>
      </c>
      <c r="N11" s="69" t="s">
        <v>205</v>
      </c>
      <c r="O11" s="69">
        <v>100</v>
      </c>
      <c r="P11" s="84">
        <v>100</v>
      </c>
    </row>
    <row r="12" spans="2:17" x14ac:dyDescent="0.25">
      <c r="B12" s="128"/>
      <c r="C12" s="132"/>
      <c r="D12" s="143"/>
      <c r="E12" s="6">
        <v>38412071</v>
      </c>
      <c r="F12" s="6" t="s">
        <v>139</v>
      </c>
      <c r="G12" s="25" t="s">
        <v>19</v>
      </c>
      <c r="H12" s="64" t="s">
        <v>147</v>
      </c>
      <c r="I12" s="34">
        <v>34800</v>
      </c>
      <c r="J12" s="35">
        <f>IFERROR(VLOOKUP(E12,'[1]8월 출고'!$B:$E,4,0),0)</f>
        <v>20033</v>
      </c>
      <c r="K12" s="31">
        <v>18800</v>
      </c>
      <c r="L12" s="32">
        <v>888</v>
      </c>
      <c r="M12" s="33">
        <v>4</v>
      </c>
      <c r="N12" s="69" t="s">
        <v>205</v>
      </c>
      <c r="O12" s="69">
        <v>50</v>
      </c>
      <c r="P12" s="84">
        <v>50</v>
      </c>
    </row>
    <row r="13" spans="2:17" x14ac:dyDescent="0.25">
      <c r="B13" s="128"/>
      <c r="C13" s="132"/>
      <c r="D13" s="131"/>
      <c r="E13" s="6">
        <v>29280326</v>
      </c>
      <c r="F13" s="6" t="s">
        <v>139</v>
      </c>
      <c r="G13" s="25" t="s">
        <v>18</v>
      </c>
      <c r="H13" s="64" t="s">
        <v>147</v>
      </c>
      <c r="I13" s="34">
        <v>34800</v>
      </c>
      <c r="J13" s="35">
        <f>IFERROR(VLOOKUP(E13,'[1]8월 출고'!$B:$E,4,0),0)</f>
        <v>20033</v>
      </c>
      <c r="K13" s="31">
        <v>18800</v>
      </c>
      <c r="L13" s="32">
        <v>888</v>
      </c>
      <c r="M13" s="33">
        <v>7</v>
      </c>
      <c r="N13" s="69" t="s">
        <v>205</v>
      </c>
      <c r="O13" s="69">
        <v>50</v>
      </c>
      <c r="P13" s="84">
        <v>50</v>
      </c>
    </row>
    <row r="14" spans="2:17" ht="15.6" customHeight="1" x14ac:dyDescent="0.25">
      <c r="B14" s="128"/>
      <c r="C14" s="132"/>
      <c r="D14" s="144" t="s">
        <v>60</v>
      </c>
      <c r="E14" s="6">
        <v>59056260</v>
      </c>
      <c r="F14" s="6" t="s">
        <v>139</v>
      </c>
      <c r="G14" s="25" t="s">
        <v>99</v>
      </c>
      <c r="H14" s="64" t="s">
        <v>221</v>
      </c>
      <c r="I14" s="30">
        <v>109000</v>
      </c>
      <c r="J14" s="35">
        <f>IFERROR(VLOOKUP(E14,'[1]8월 출고'!$B:$E,4,0),0)</f>
        <v>26733</v>
      </c>
      <c r="K14" s="31">
        <v>58800</v>
      </c>
      <c r="L14" s="32">
        <v>288</v>
      </c>
      <c r="M14" s="33">
        <v>231</v>
      </c>
      <c r="N14" s="69" t="s">
        <v>207</v>
      </c>
      <c r="O14" s="69">
        <v>200</v>
      </c>
      <c r="P14" s="84" t="s">
        <v>207</v>
      </c>
      <c r="Q14" s="9"/>
    </row>
    <row r="15" spans="2:17" ht="16.5" customHeight="1" x14ac:dyDescent="0.25">
      <c r="B15" s="128"/>
      <c r="C15" s="132"/>
      <c r="D15" s="143"/>
      <c r="E15" s="6">
        <v>64330309</v>
      </c>
      <c r="F15" s="6" t="s">
        <v>139</v>
      </c>
      <c r="G15" s="25" t="s">
        <v>100</v>
      </c>
      <c r="H15" s="64" t="s">
        <v>222</v>
      </c>
      <c r="I15" s="36">
        <v>119000</v>
      </c>
      <c r="J15" s="35">
        <f>IFERROR(VLOOKUP(E15,'[1]8월 출고'!$B:$E,4,0),0)</f>
        <v>40133</v>
      </c>
      <c r="K15" s="31">
        <v>68800</v>
      </c>
      <c r="L15" s="32">
        <v>188</v>
      </c>
      <c r="M15" s="33">
        <v>109</v>
      </c>
      <c r="N15" s="69" t="s">
        <v>207</v>
      </c>
      <c r="O15" s="69">
        <v>100</v>
      </c>
      <c r="P15" s="84">
        <v>100</v>
      </c>
    </row>
    <row r="16" spans="2:17" ht="17.25" customHeight="1" thickBot="1" x14ac:dyDescent="0.3">
      <c r="B16" s="129"/>
      <c r="C16" s="133"/>
      <c r="D16" s="145"/>
      <c r="E16" s="24">
        <v>59932138</v>
      </c>
      <c r="F16" s="10" t="s">
        <v>139</v>
      </c>
      <c r="G16" s="82" t="s">
        <v>101</v>
      </c>
      <c r="H16" s="73" t="s">
        <v>223</v>
      </c>
      <c r="I16" s="37">
        <v>159000</v>
      </c>
      <c r="J16" s="38">
        <f>IFERROR(VLOOKUP(E16,'[1]8월 출고'!$B:$E,4,0),0)</f>
        <v>24723</v>
      </c>
      <c r="K16" s="39">
        <v>88800</v>
      </c>
      <c r="L16" s="40">
        <v>188</v>
      </c>
      <c r="M16" s="41">
        <v>52</v>
      </c>
      <c r="N16" s="74" t="s">
        <v>207</v>
      </c>
      <c r="O16" s="74">
        <v>100</v>
      </c>
      <c r="P16" s="85">
        <v>100</v>
      </c>
    </row>
    <row r="17" spans="2:17" ht="16.5" customHeight="1" thickTop="1" x14ac:dyDescent="0.25">
      <c r="B17" s="134" t="s">
        <v>29</v>
      </c>
      <c r="C17" s="138" t="s">
        <v>57</v>
      </c>
      <c r="D17" s="146" t="s">
        <v>72</v>
      </c>
      <c r="E17" s="12">
        <v>67268350</v>
      </c>
      <c r="F17" s="12" t="s">
        <v>111</v>
      </c>
      <c r="G17" s="63" t="s">
        <v>103</v>
      </c>
      <c r="H17" s="72" t="s">
        <v>148</v>
      </c>
      <c r="I17" s="42">
        <v>44800</v>
      </c>
      <c r="J17" s="43">
        <f>IFERROR(VLOOKUP(E17,'[1]8월 출고'!$B:$E,4,0),0)</f>
        <v>29185</v>
      </c>
      <c r="K17" s="44">
        <v>18800</v>
      </c>
      <c r="L17" s="45">
        <v>888</v>
      </c>
      <c r="M17" s="46">
        <v>4</v>
      </c>
      <c r="N17" s="71" t="s">
        <v>110</v>
      </c>
      <c r="O17" s="71" t="s">
        <v>207</v>
      </c>
      <c r="P17" s="86" t="s">
        <v>207</v>
      </c>
    </row>
    <row r="18" spans="2:17" ht="16.5" customHeight="1" x14ac:dyDescent="0.25">
      <c r="B18" s="135"/>
      <c r="C18" s="139"/>
      <c r="D18" s="147"/>
      <c r="E18" s="13">
        <v>67268348</v>
      </c>
      <c r="F18" s="13" t="s">
        <v>111</v>
      </c>
      <c r="G18" s="50" t="s">
        <v>104</v>
      </c>
      <c r="H18" s="64" t="s">
        <v>148</v>
      </c>
      <c r="I18" s="48">
        <v>44800</v>
      </c>
      <c r="J18" s="35">
        <f>IFERROR(VLOOKUP(E18,'[1]8월 출고'!$B:$E,4,0),0)</f>
        <v>29185</v>
      </c>
      <c r="K18" s="31">
        <v>18800</v>
      </c>
      <c r="L18" s="32">
        <v>888</v>
      </c>
      <c r="M18" s="33">
        <v>4</v>
      </c>
      <c r="N18" s="69" t="s">
        <v>110</v>
      </c>
      <c r="O18" s="69" t="s">
        <v>207</v>
      </c>
      <c r="P18" s="84" t="s">
        <v>207</v>
      </c>
    </row>
    <row r="19" spans="2:17" ht="16.5" customHeight="1" x14ac:dyDescent="0.25">
      <c r="B19" s="135"/>
      <c r="C19" s="139"/>
      <c r="D19" s="147"/>
      <c r="E19" s="13">
        <v>67268341</v>
      </c>
      <c r="F19" s="13" t="s">
        <v>111</v>
      </c>
      <c r="G19" s="50" t="s">
        <v>105</v>
      </c>
      <c r="H19" s="65" t="s">
        <v>148</v>
      </c>
      <c r="I19" s="48">
        <v>44800</v>
      </c>
      <c r="J19" s="35">
        <f>IFERROR(VLOOKUP(E19,'[1]8월 출고'!$B:$E,4,0),0)</f>
        <v>29185</v>
      </c>
      <c r="K19" s="31">
        <v>18800</v>
      </c>
      <c r="L19" s="32">
        <v>888</v>
      </c>
      <c r="M19" s="33">
        <v>4</v>
      </c>
      <c r="N19" s="69" t="s">
        <v>110</v>
      </c>
      <c r="O19" s="69" t="s">
        <v>207</v>
      </c>
      <c r="P19" s="84" t="s">
        <v>207</v>
      </c>
    </row>
    <row r="20" spans="2:17" ht="16.5" customHeight="1" x14ac:dyDescent="0.25">
      <c r="B20" s="135"/>
      <c r="C20" s="139"/>
      <c r="D20" s="147"/>
      <c r="E20" s="13">
        <v>67268349</v>
      </c>
      <c r="F20" s="13" t="s">
        <v>111</v>
      </c>
      <c r="G20" s="50" t="s">
        <v>106</v>
      </c>
      <c r="H20" s="65" t="s">
        <v>148</v>
      </c>
      <c r="I20" s="48">
        <v>44800</v>
      </c>
      <c r="J20" s="35">
        <f>IFERROR(VLOOKUP(E20,'[1]8월 출고'!$B:$E,4,0),0)</f>
        <v>29185</v>
      </c>
      <c r="K20" s="31">
        <v>18800</v>
      </c>
      <c r="L20" s="32">
        <v>888</v>
      </c>
      <c r="M20" s="33">
        <v>9</v>
      </c>
      <c r="N20" s="69" t="s">
        <v>110</v>
      </c>
      <c r="O20" s="69" t="s">
        <v>207</v>
      </c>
      <c r="P20" s="84" t="s">
        <v>207</v>
      </c>
    </row>
    <row r="21" spans="2:17" ht="16.5" customHeight="1" x14ac:dyDescent="0.25">
      <c r="B21" s="135"/>
      <c r="C21" s="139"/>
      <c r="D21" s="147"/>
      <c r="E21" s="13">
        <v>67272046</v>
      </c>
      <c r="F21" s="13" t="s">
        <v>111</v>
      </c>
      <c r="G21" s="51" t="s">
        <v>108</v>
      </c>
      <c r="H21" s="65" t="s">
        <v>149</v>
      </c>
      <c r="I21" s="48">
        <v>44800</v>
      </c>
      <c r="J21" s="35">
        <f>IFERROR(VLOOKUP(E21,'[1]8월 출고'!$B:$E,4,0),0)</f>
        <v>24635</v>
      </c>
      <c r="K21" s="31">
        <v>18800</v>
      </c>
      <c r="L21" s="32">
        <v>888</v>
      </c>
      <c r="M21" s="33">
        <v>3</v>
      </c>
      <c r="N21" s="69" t="s">
        <v>110</v>
      </c>
      <c r="O21" s="69" t="s">
        <v>207</v>
      </c>
      <c r="P21" s="84" t="s">
        <v>207</v>
      </c>
    </row>
    <row r="22" spans="2:17" x14ac:dyDescent="0.25">
      <c r="B22" s="136"/>
      <c r="C22" s="140"/>
      <c r="D22" s="147"/>
      <c r="E22" s="13">
        <v>67272047</v>
      </c>
      <c r="F22" s="13" t="s">
        <v>111</v>
      </c>
      <c r="G22" s="51" t="s">
        <v>109</v>
      </c>
      <c r="H22" s="65" t="s">
        <v>149</v>
      </c>
      <c r="I22" s="34">
        <v>37800</v>
      </c>
      <c r="J22" s="35">
        <f>IFERROR(VLOOKUP(E22,'[1]8월 출고'!$B:$E,4,0),0)</f>
        <v>24635</v>
      </c>
      <c r="K22" s="31">
        <v>18800</v>
      </c>
      <c r="L22" s="32">
        <v>888</v>
      </c>
      <c r="M22" s="33">
        <v>3</v>
      </c>
      <c r="N22" s="69" t="s">
        <v>110</v>
      </c>
      <c r="O22" s="69" t="s">
        <v>207</v>
      </c>
      <c r="P22" s="84" t="s">
        <v>207</v>
      </c>
    </row>
    <row r="23" spans="2:17" x14ac:dyDescent="0.25">
      <c r="B23" s="136"/>
      <c r="C23" s="140"/>
      <c r="D23" s="147"/>
      <c r="E23" s="13">
        <v>42265154</v>
      </c>
      <c r="F23" s="13" t="s">
        <v>111</v>
      </c>
      <c r="G23" s="51" t="s">
        <v>26</v>
      </c>
      <c r="H23" s="65" t="s">
        <v>150</v>
      </c>
      <c r="I23" s="34">
        <v>69800</v>
      </c>
      <c r="J23" s="35">
        <f>IFERROR(VLOOKUP(E23,'[1]8월 출고'!$B:$E,4,0),0)</f>
        <v>48685</v>
      </c>
      <c r="K23" s="31">
        <v>38800</v>
      </c>
      <c r="L23" s="32">
        <v>888</v>
      </c>
      <c r="M23" s="33">
        <v>72</v>
      </c>
      <c r="N23" s="69" t="s">
        <v>110</v>
      </c>
      <c r="O23" s="69" t="s">
        <v>207</v>
      </c>
      <c r="P23" s="84" t="s">
        <v>207</v>
      </c>
    </row>
    <row r="24" spans="2:17" x14ac:dyDescent="0.25">
      <c r="B24" s="136"/>
      <c r="C24" s="140"/>
      <c r="D24" s="147"/>
      <c r="E24" s="13">
        <v>75989703</v>
      </c>
      <c r="F24" s="13" t="s">
        <v>111</v>
      </c>
      <c r="G24" s="52" t="s">
        <v>73</v>
      </c>
      <c r="H24" s="65" t="s">
        <v>151</v>
      </c>
      <c r="I24" s="34">
        <v>19800</v>
      </c>
      <c r="J24" s="35">
        <f>IFERROR(VLOOKUP(E24,'[1]8월 출고'!$B:$E,4,0),0)</f>
        <v>9858</v>
      </c>
      <c r="K24" s="31">
        <v>9800</v>
      </c>
      <c r="L24" s="32">
        <v>888</v>
      </c>
      <c r="M24" s="33">
        <v>13</v>
      </c>
      <c r="N24" s="69" t="s">
        <v>110</v>
      </c>
      <c r="O24" s="69" t="s">
        <v>207</v>
      </c>
      <c r="P24" s="84" t="s">
        <v>207</v>
      </c>
    </row>
    <row r="25" spans="2:17" x14ac:dyDescent="0.25">
      <c r="B25" s="136"/>
      <c r="C25" s="140"/>
      <c r="D25" s="147"/>
      <c r="E25" s="13">
        <v>52270898</v>
      </c>
      <c r="F25" s="26" t="s">
        <v>139</v>
      </c>
      <c r="G25" s="52" t="s">
        <v>24</v>
      </c>
      <c r="H25" s="65" t="s">
        <v>152</v>
      </c>
      <c r="I25" s="34">
        <v>54800</v>
      </c>
      <c r="J25" s="35">
        <f>IFERROR(VLOOKUP(E25,'[1]8월 출고'!$B:$E,4,0),0)</f>
        <v>36046</v>
      </c>
      <c r="K25" s="31">
        <v>28800</v>
      </c>
      <c r="L25" s="32">
        <v>888</v>
      </c>
      <c r="M25" s="33">
        <v>21</v>
      </c>
      <c r="N25" s="69">
        <v>85</v>
      </c>
      <c r="O25" s="69">
        <v>100</v>
      </c>
      <c r="P25" s="84">
        <v>100</v>
      </c>
    </row>
    <row r="26" spans="2:17" x14ac:dyDescent="0.25">
      <c r="B26" s="136"/>
      <c r="C26" s="140"/>
      <c r="D26" s="139"/>
      <c r="E26" s="13">
        <v>39239709</v>
      </c>
      <c r="F26" s="26" t="s">
        <v>139</v>
      </c>
      <c r="G26" s="14" t="s">
        <v>20</v>
      </c>
      <c r="H26" s="65" t="s">
        <v>153</v>
      </c>
      <c r="I26" s="34">
        <v>57500</v>
      </c>
      <c r="J26" s="35">
        <f>IFERROR(VLOOKUP(E26,'[1]8월 출고'!$B:$E,4,0),0)</f>
        <v>44756</v>
      </c>
      <c r="K26" s="31">
        <v>28800</v>
      </c>
      <c r="L26" s="32">
        <v>888</v>
      </c>
      <c r="M26" s="33">
        <v>7</v>
      </c>
      <c r="N26" s="69">
        <v>30</v>
      </c>
      <c r="O26" s="69">
        <v>30</v>
      </c>
      <c r="P26" s="84">
        <v>20</v>
      </c>
    </row>
    <row r="27" spans="2:17" x14ac:dyDescent="0.25">
      <c r="B27" s="136"/>
      <c r="C27" s="140"/>
      <c r="D27" s="170" t="s">
        <v>60</v>
      </c>
      <c r="E27" s="13">
        <v>59070986</v>
      </c>
      <c r="F27" s="26" t="s">
        <v>139</v>
      </c>
      <c r="G27" s="53" t="s">
        <v>34</v>
      </c>
      <c r="H27" s="65" t="s">
        <v>154</v>
      </c>
      <c r="I27" s="47">
        <v>299000</v>
      </c>
      <c r="J27" s="35">
        <f>IFERROR(VLOOKUP(E27,'[1]8월 출고'!$B:$E,4,0),0)</f>
        <v>119930</v>
      </c>
      <c r="K27" s="31">
        <v>118800</v>
      </c>
      <c r="L27" s="32">
        <v>188</v>
      </c>
      <c r="M27" s="33">
        <v>20</v>
      </c>
      <c r="N27" s="69">
        <v>84</v>
      </c>
      <c r="O27" s="69">
        <v>70</v>
      </c>
      <c r="P27" s="84">
        <v>70</v>
      </c>
    </row>
    <row r="28" spans="2:17" ht="16.5" customHeight="1" x14ac:dyDescent="0.25">
      <c r="B28" s="136"/>
      <c r="C28" s="140"/>
      <c r="D28" s="147"/>
      <c r="E28" s="13">
        <v>75077119</v>
      </c>
      <c r="F28" s="26" t="s">
        <v>139</v>
      </c>
      <c r="G28" s="53" t="s">
        <v>64</v>
      </c>
      <c r="H28" s="65" t="s">
        <v>155</v>
      </c>
      <c r="I28" s="47">
        <v>49900</v>
      </c>
      <c r="J28" s="35">
        <f>IFERROR(VLOOKUP(E28,'[1]8월 출고'!$B:$E,4,0),0)</f>
        <v>34431</v>
      </c>
      <c r="K28" s="31">
        <v>24800</v>
      </c>
      <c r="L28" s="32">
        <v>888</v>
      </c>
      <c r="M28" s="33">
        <v>26</v>
      </c>
      <c r="N28" s="69" t="s">
        <v>206</v>
      </c>
      <c r="O28" s="69">
        <v>80</v>
      </c>
      <c r="P28" s="84">
        <v>100</v>
      </c>
    </row>
    <row r="29" spans="2:17" ht="17.25" customHeight="1" thickBot="1" x14ac:dyDescent="0.3">
      <c r="B29" s="137"/>
      <c r="C29" s="141"/>
      <c r="D29" s="171"/>
      <c r="E29" s="21">
        <v>56663811</v>
      </c>
      <c r="F29" s="21" t="s">
        <v>111</v>
      </c>
      <c r="G29" s="79" t="s">
        <v>36</v>
      </c>
      <c r="H29" s="80" t="s">
        <v>156</v>
      </c>
      <c r="I29" s="81">
        <v>59900</v>
      </c>
      <c r="J29" s="38">
        <f>IFERROR(VLOOKUP(E29,'[1]8월 출고'!$B:$E,4,0),0)</f>
        <v>40800</v>
      </c>
      <c r="K29" s="39">
        <v>32800</v>
      </c>
      <c r="L29" s="40">
        <v>888</v>
      </c>
      <c r="M29" s="41">
        <v>6</v>
      </c>
      <c r="N29" s="74" t="s">
        <v>111</v>
      </c>
      <c r="O29" s="74" t="s">
        <v>207</v>
      </c>
      <c r="P29" s="85" t="s">
        <v>207</v>
      </c>
    </row>
    <row r="30" spans="2:17" ht="16.5" customHeight="1" thickTop="1" x14ac:dyDescent="0.25">
      <c r="B30" s="156" t="s">
        <v>48</v>
      </c>
      <c r="C30" s="157" t="s">
        <v>61</v>
      </c>
      <c r="D30" s="181" t="s">
        <v>72</v>
      </c>
      <c r="E30" s="75" t="s">
        <v>79</v>
      </c>
      <c r="F30" s="76" t="s">
        <v>139</v>
      </c>
      <c r="G30" s="77" t="s">
        <v>74</v>
      </c>
      <c r="H30" s="70" t="s">
        <v>228</v>
      </c>
      <c r="I30" s="78">
        <v>39800</v>
      </c>
      <c r="J30" s="43">
        <f>IFERROR(VLOOKUP(E30,'[1]8월 출고'!$B:$E,4,0),0)</f>
        <v>0</v>
      </c>
      <c r="K30" s="44">
        <v>19800</v>
      </c>
      <c r="L30" s="45">
        <v>888</v>
      </c>
      <c r="M30" s="46">
        <v>0</v>
      </c>
      <c r="N30" s="71" t="s">
        <v>207</v>
      </c>
      <c r="O30" s="71" t="s">
        <v>207</v>
      </c>
      <c r="P30" s="86" t="s">
        <v>207</v>
      </c>
    </row>
    <row r="31" spans="2:17" ht="16.5" customHeight="1" x14ac:dyDescent="0.25">
      <c r="B31" s="128"/>
      <c r="C31" s="158"/>
      <c r="D31" s="182"/>
      <c r="E31" s="7" t="s">
        <v>79</v>
      </c>
      <c r="F31" s="6" t="s">
        <v>139</v>
      </c>
      <c r="G31" s="51" t="s">
        <v>75</v>
      </c>
      <c r="H31" s="65" t="s">
        <v>229</v>
      </c>
      <c r="I31" s="36">
        <v>39800</v>
      </c>
      <c r="J31" s="35">
        <f>IFERROR(VLOOKUP(E31,'[1]8월 출고'!$B:$E,4,0),0)</f>
        <v>0</v>
      </c>
      <c r="K31" s="31">
        <v>19800</v>
      </c>
      <c r="L31" s="32">
        <v>888</v>
      </c>
      <c r="M31" s="33">
        <v>0</v>
      </c>
      <c r="N31" s="69" t="s">
        <v>207</v>
      </c>
      <c r="O31" s="69" t="s">
        <v>207</v>
      </c>
      <c r="P31" s="84" t="s">
        <v>207</v>
      </c>
      <c r="Q31" s="9"/>
    </row>
    <row r="32" spans="2:17" ht="16.5" customHeight="1" x14ac:dyDescent="0.25">
      <c r="B32" s="128"/>
      <c r="C32" s="158"/>
      <c r="D32" s="182"/>
      <c r="E32" s="7">
        <v>72910683</v>
      </c>
      <c r="F32" s="6" t="s">
        <v>139</v>
      </c>
      <c r="G32" s="51" t="s">
        <v>120</v>
      </c>
      <c r="H32" s="65" t="s">
        <v>157</v>
      </c>
      <c r="I32" s="36">
        <v>44800</v>
      </c>
      <c r="J32" s="35">
        <f>IFERROR(VLOOKUP(E32,'[1]8월 출고'!$B:$E,4,0),0)</f>
        <v>30016</v>
      </c>
      <c r="K32" s="31">
        <v>19800</v>
      </c>
      <c r="L32" s="32">
        <v>888</v>
      </c>
      <c r="M32" s="33">
        <v>33</v>
      </c>
      <c r="N32" s="69" t="s">
        <v>205</v>
      </c>
      <c r="O32" s="69">
        <v>80</v>
      </c>
      <c r="P32" s="84">
        <v>80</v>
      </c>
      <c r="Q32" s="9"/>
    </row>
    <row r="33" spans="2:17" ht="16.5" customHeight="1" x14ac:dyDescent="0.25">
      <c r="B33" s="128"/>
      <c r="C33" s="158"/>
      <c r="D33" s="182"/>
      <c r="E33" s="7">
        <v>72910681</v>
      </c>
      <c r="F33" s="6" t="s">
        <v>139</v>
      </c>
      <c r="G33" s="51" t="s">
        <v>76</v>
      </c>
      <c r="H33" s="65" t="s">
        <v>157</v>
      </c>
      <c r="I33" s="36">
        <v>44800</v>
      </c>
      <c r="J33" s="35">
        <f>IFERROR(VLOOKUP(E33,'[1]8월 출고'!$B:$E,4,0),0)</f>
        <v>30016</v>
      </c>
      <c r="K33" s="31">
        <v>19800</v>
      </c>
      <c r="L33" s="32">
        <v>888</v>
      </c>
      <c r="M33" s="33">
        <v>14</v>
      </c>
      <c r="N33" s="69" t="s">
        <v>205</v>
      </c>
      <c r="O33" s="69">
        <v>80</v>
      </c>
      <c r="P33" s="84">
        <v>80</v>
      </c>
      <c r="Q33" s="9"/>
    </row>
    <row r="34" spans="2:17" ht="16.5" customHeight="1" x14ac:dyDescent="0.25">
      <c r="B34" s="128"/>
      <c r="C34" s="158"/>
      <c r="D34" s="182"/>
      <c r="E34" s="7">
        <v>55357095</v>
      </c>
      <c r="F34" s="6" t="s">
        <v>139</v>
      </c>
      <c r="G34" s="51" t="s">
        <v>77</v>
      </c>
      <c r="H34" s="65" t="s">
        <v>158</v>
      </c>
      <c r="I34" s="36">
        <v>39800</v>
      </c>
      <c r="J34" s="35">
        <f>IFERROR(VLOOKUP(E34,'[1]8월 출고'!$B:$E,4,0),0)</f>
        <v>26666</v>
      </c>
      <c r="K34" s="31">
        <v>19800</v>
      </c>
      <c r="L34" s="32">
        <v>888</v>
      </c>
      <c r="M34" s="33">
        <v>243</v>
      </c>
      <c r="N34" s="69" t="s">
        <v>205</v>
      </c>
      <c r="O34" s="69">
        <v>200</v>
      </c>
      <c r="P34" s="84" t="s">
        <v>207</v>
      </c>
      <c r="Q34" s="9"/>
    </row>
    <row r="35" spans="2:17" ht="16.5" customHeight="1" x14ac:dyDescent="0.25">
      <c r="B35" s="128"/>
      <c r="C35" s="158"/>
      <c r="D35" s="182"/>
      <c r="E35" s="7">
        <v>69772629</v>
      </c>
      <c r="F35" s="6" t="s">
        <v>139</v>
      </c>
      <c r="G35" s="51" t="s">
        <v>78</v>
      </c>
      <c r="H35" s="65" t="s">
        <v>159</v>
      </c>
      <c r="I35" s="36">
        <v>43800</v>
      </c>
      <c r="J35" s="35">
        <f>IFERROR(VLOOKUP(E35,'[1]8월 출고'!$B:$E,4,0),0)</f>
        <v>29413</v>
      </c>
      <c r="K35" s="31">
        <v>19800</v>
      </c>
      <c r="L35" s="32">
        <v>888</v>
      </c>
      <c r="M35" s="33">
        <v>316</v>
      </c>
      <c r="N35" s="69" t="s">
        <v>205</v>
      </c>
      <c r="O35" s="69">
        <v>200</v>
      </c>
      <c r="P35" s="84" t="s">
        <v>207</v>
      </c>
      <c r="Q35" s="9"/>
    </row>
    <row r="36" spans="2:17" ht="16.5" customHeight="1" x14ac:dyDescent="0.25">
      <c r="B36" s="128"/>
      <c r="C36" s="158"/>
      <c r="D36" s="182"/>
      <c r="E36" s="7">
        <v>69772627</v>
      </c>
      <c r="F36" s="6" t="s">
        <v>139</v>
      </c>
      <c r="G36" s="51" t="s">
        <v>121</v>
      </c>
      <c r="H36" s="65" t="s">
        <v>159</v>
      </c>
      <c r="I36" s="36">
        <v>43800</v>
      </c>
      <c r="J36" s="35">
        <f>IFERROR(VLOOKUP(E36,'[1]8월 출고'!$B:$E,4,0),0)</f>
        <v>29413</v>
      </c>
      <c r="K36" s="31">
        <v>19800</v>
      </c>
      <c r="L36" s="32">
        <v>888</v>
      </c>
      <c r="M36" s="33">
        <v>86</v>
      </c>
      <c r="N36" s="69" t="s">
        <v>205</v>
      </c>
      <c r="O36" s="69">
        <v>100</v>
      </c>
      <c r="P36" s="84">
        <v>50</v>
      </c>
      <c r="Q36" s="9"/>
    </row>
    <row r="37" spans="2:17" ht="16.5" customHeight="1" x14ac:dyDescent="0.25">
      <c r="B37" s="128"/>
      <c r="C37" s="158"/>
      <c r="D37" s="182"/>
      <c r="E37" s="7">
        <v>69772625</v>
      </c>
      <c r="F37" s="6" t="s">
        <v>139</v>
      </c>
      <c r="G37" s="51" t="s">
        <v>122</v>
      </c>
      <c r="H37" s="65" t="s">
        <v>159</v>
      </c>
      <c r="I37" s="36">
        <v>43800</v>
      </c>
      <c r="J37" s="35">
        <f>IFERROR(VLOOKUP(E37,'[1]8월 출고'!$B:$E,4,0),0)</f>
        <v>29413</v>
      </c>
      <c r="K37" s="31">
        <v>19800</v>
      </c>
      <c r="L37" s="32">
        <v>888</v>
      </c>
      <c r="M37" s="33">
        <v>82</v>
      </c>
      <c r="N37" s="69" t="s">
        <v>205</v>
      </c>
      <c r="O37" s="69">
        <v>100</v>
      </c>
      <c r="P37" s="84">
        <v>50</v>
      </c>
      <c r="Q37" s="9"/>
    </row>
    <row r="38" spans="2:17" x14ac:dyDescent="0.25">
      <c r="B38" s="128"/>
      <c r="C38" s="158"/>
      <c r="D38" s="183"/>
      <c r="E38" s="7" t="s">
        <v>79</v>
      </c>
      <c r="F38" s="6" t="s">
        <v>139</v>
      </c>
      <c r="G38" s="51" t="s">
        <v>80</v>
      </c>
      <c r="H38" s="65" t="s">
        <v>230</v>
      </c>
      <c r="I38" s="48">
        <v>29800</v>
      </c>
      <c r="J38" s="35">
        <f>IFERROR(VLOOKUP(E38,'[1]8월 출고'!$B:$E,4,0),0)</f>
        <v>0</v>
      </c>
      <c r="K38" s="31">
        <v>13800</v>
      </c>
      <c r="L38" s="32">
        <v>888</v>
      </c>
      <c r="M38" s="33">
        <v>0</v>
      </c>
      <c r="N38" s="69" t="s">
        <v>207</v>
      </c>
      <c r="O38" s="69" t="s">
        <v>207</v>
      </c>
      <c r="P38" s="84" t="s">
        <v>207</v>
      </c>
    </row>
    <row r="39" spans="2:17" x14ac:dyDescent="0.25">
      <c r="B39" s="128"/>
      <c r="C39" s="158"/>
      <c r="D39" s="144" t="s">
        <v>60</v>
      </c>
      <c r="E39" s="7">
        <v>37161537</v>
      </c>
      <c r="F39" s="13" t="s">
        <v>111</v>
      </c>
      <c r="G39" s="51" t="s">
        <v>9</v>
      </c>
      <c r="H39" s="65" t="s">
        <v>160</v>
      </c>
      <c r="I39" s="36">
        <v>34800</v>
      </c>
      <c r="J39" s="35">
        <f>IFERROR(VLOOKUP(E39,'[1]8월 출고'!$B:$E,4,0),0)</f>
        <v>23940</v>
      </c>
      <c r="K39" s="31">
        <v>18800</v>
      </c>
      <c r="L39" s="32">
        <v>888</v>
      </c>
      <c r="M39" s="33">
        <v>248</v>
      </c>
      <c r="N39" s="69" t="s">
        <v>111</v>
      </c>
      <c r="O39" s="69" t="s">
        <v>207</v>
      </c>
      <c r="P39" s="84" t="s">
        <v>207</v>
      </c>
    </row>
    <row r="40" spans="2:17" x14ac:dyDescent="0.25">
      <c r="B40" s="128"/>
      <c r="C40" s="158"/>
      <c r="D40" s="143"/>
      <c r="E40" s="7">
        <v>63742200</v>
      </c>
      <c r="F40" s="6" t="s">
        <v>139</v>
      </c>
      <c r="G40" s="54" t="s">
        <v>62</v>
      </c>
      <c r="H40" s="65" t="s">
        <v>161</v>
      </c>
      <c r="I40" s="34">
        <v>128000</v>
      </c>
      <c r="J40" s="35">
        <f>IFERROR(VLOOKUP(E40,'[1]8월 출고'!$B:$E,4,0),0)</f>
        <v>86430</v>
      </c>
      <c r="K40" s="31">
        <v>68800</v>
      </c>
      <c r="L40" s="32">
        <v>888</v>
      </c>
      <c r="M40" s="33">
        <v>8</v>
      </c>
      <c r="N40" s="69" t="s">
        <v>207</v>
      </c>
      <c r="O40" s="33">
        <v>20</v>
      </c>
      <c r="P40" s="84">
        <v>20</v>
      </c>
    </row>
    <row r="41" spans="2:17" ht="14.25" thickBot="1" x14ac:dyDescent="0.3">
      <c r="B41" s="129"/>
      <c r="C41" s="159"/>
      <c r="D41" s="145"/>
      <c r="E41" s="7">
        <v>61929727</v>
      </c>
      <c r="F41" s="6" t="s">
        <v>139</v>
      </c>
      <c r="G41" s="54" t="s">
        <v>63</v>
      </c>
      <c r="H41" s="65" t="s">
        <v>162</v>
      </c>
      <c r="I41" s="34">
        <v>44800</v>
      </c>
      <c r="J41" s="35">
        <f>IFERROR(VLOOKUP(E41,'[1]8월 출고'!$B:$E,4,0),0)</f>
        <v>30083</v>
      </c>
      <c r="K41" s="31">
        <v>28800</v>
      </c>
      <c r="L41" s="32">
        <v>888</v>
      </c>
      <c r="M41" s="33">
        <v>14</v>
      </c>
      <c r="N41" s="69" t="s">
        <v>207</v>
      </c>
      <c r="O41" s="33">
        <v>50</v>
      </c>
      <c r="P41" s="84">
        <v>50</v>
      </c>
    </row>
    <row r="42" spans="2:17" ht="16.5" customHeight="1" thickTop="1" x14ac:dyDescent="0.25">
      <c r="B42" s="148" t="s">
        <v>49</v>
      </c>
      <c r="C42" s="152" t="s">
        <v>55</v>
      </c>
      <c r="D42" s="184" t="s">
        <v>72</v>
      </c>
      <c r="E42" s="11">
        <v>23200605</v>
      </c>
      <c r="F42" s="27" t="s">
        <v>139</v>
      </c>
      <c r="G42" s="55" t="s">
        <v>15</v>
      </c>
      <c r="H42" s="65" t="s">
        <v>163</v>
      </c>
      <c r="I42" s="34">
        <v>19800</v>
      </c>
      <c r="J42" s="35">
        <f>IFERROR(VLOOKUP(E42,'[1]8월 출고'!$B:$E,4,0),0)</f>
        <v>13333</v>
      </c>
      <c r="K42" s="31">
        <v>8800</v>
      </c>
      <c r="L42" s="32">
        <v>888</v>
      </c>
      <c r="M42" s="33">
        <v>904</v>
      </c>
      <c r="N42" s="69" t="s">
        <v>205</v>
      </c>
      <c r="O42" s="33">
        <v>1000</v>
      </c>
      <c r="P42" s="84" t="s">
        <v>207</v>
      </c>
    </row>
    <row r="43" spans="2:17" ht="16.5" customHeight="1" x14ac:dyDescent="0.25">
      <c r="B43" s="149"/>
      <c r="C43" s="153"/>
      <c r="D43" s="176"/>
      <c r="E43" s="12">
        <v>23200603</v>
      </c>
      <c r="F43" s="13" t="s">
        <v>139</v>
      </c>
      <c r="G43" s="56" t="s">
        <v>14</v>
      </c>
      <c r="H43" s="65" t="s">
        <v>163</v>
      </c>
      <c r="I43" s="34">
        <v>19800</v>
      </c>
      <c r="J43" s="35">
        <f>IFERROR(VLOOKUP(E43,'[1]8월 출고'!$B:$E,4,0),0)</f>
        <v>13333</v>
      </c>
      <c r="K43" s="31">
        <v>8800</v>
      </c>
      <c r="L43" s="32"/>
      <c r="M43" s="33">
        <v>718</v>
      </c>
      <c r="N43" s="69" t="s">
        <v>205</v>
      </c>
      <c r="O43" s="33">
        <v>1000</v>
      </c>
      <c r="P43" s="84" t="s">
        <v>207</v>
      </c>
    </row>
    <row r="44" spans="2:17" ht="16.5" customHeight="1" x14ac:dyDescent="0.25">
      <c r="B44" s="149"/>
      <c r="C44" s="153"/>
      <c r="D44" s="176"/>
      <c r="E44" s="12">
        <v>46671749</v>
      </c>
      <c r="F44" s="13" t="s">
        <v>139</v>
      </c>
      <c r="G44" s="56" t="s">
        <v>81</v>
      </c>
      <c r="H44" s="65" t="s">
        <v>164</v>
      </c>
      <c r="I44" s="34">
        <v>25800</v>
      </c>
      <c r="J44" s="35">
        <f>IFERROR(VLOOKUP(E44,'[1]8월 출고'!$B:$E,4,0),0)</f>
        <v>17286</v>
      </c>
      <c r="K44" s="31">
        <v>12800</v>
      </c>
      <c r="L44" s="32">
        <v>888</v>
      </c>
      <c r="M44" s="33">
        <v>87</v>
      </c>
      <c r="N44" s="69">
        <v>179</v>
      </c>
      <c r="O44" s="33">
        <v>100</v>
      </c>
      <c r="P44" s="84" t="s">
        <v>207</v>
      </c>
    </row>
    <row r="45" spans="2:17" ht="16.5" customHeight="1" x14ac:dyDescent="0.25">
      <c r="B45" s="149"/>
      <c r="C45" s="153"/>
      <c r="D45" s="176"/>
      <c r="E45" s="12">
        <v>71947627</v>
      </c>
      <c r="F45" s="13" t="s">
        <v>139</v>
      </c>
      <c r="G45" s="56" t="s">
        <v>82</v>
      </c>
      <c r="H45" s="65" t="s">
        <v>165</v>
      </c>
      <c r="I45" s="34">
        <v>39800</v>
      </c>
      <c r="J45" s="35">
        <f>IFERROR(VLOOKUP(E45,'[1]8월 출고'!$B:$E,4,0),0)</f>
        <v>23383</v>
      </c>
      <c r="K45" s="31">
        <v>18800</v>
      </c>
      <c r="L45" s="32">
        <v>888</v>
      </c>
      <c r="M45" s="33">
        <v>239</v>
      </c>
      <c r="N45" s="69" t="s">
        <v>205</v>
      </c>
      <c r="O45" s="33">
        <v>200</v>
      </c>
      <c r="P45" s="84" t="s">
        <v>207</v>
      </c>
    </row>
    <row r="46" spans="2:17" ht="16.5" customHeight="1" x14ac:dyDescent="0.25">
      <c r="B46" s="149"/>
      <c r="C46" s="153"/>
      <c r="D46" s="176"/>
      <c r="E46" s="12">
        <v>71156871</v>
      </c>
      <c r="F46" s="13" t="s">
        <v>139</v>
      </c>
      <c r="G46" s="56" t="s">
        <v>83</v>
      </c>
      <c r="H46" s="65" t="s">
        <v>166</v>
      </c>
      <c r="I46" s="34">
        <v>32800</v>
      </c>
      <c r="J46" s="35">
        <f>IFERROR(VLOOKUP(E46,'[1]8월 출고'!$B:$E,4,0),0)</f>
        <v>20033</v>
      </c>
      <c r="K46" s="31">
        <v>18800</v>
      </c>
      <c r="L46" s="32">
        <v>888</v>
      </c>
      <c r="M46" s="33">
        <v>47</v>
      </c>
      <c r="N46" s="69" t="s">
        <v>205</v>
      </c>
      <c r="O46" s="33">
        <v>100</v>
      </c>
      <c r="P46" s="84" t="s">
        <v>207</v>
      </c>
    </row>
    <row r="47" spans="2:17" x14ac:dyDescent="0.25">
      <c r="B47" s="150"/>
      <c r="C47" s="154"/>
      <c r="D47" s="176"/>
      <c r="E47" s="13">
        <v>25665354</v>
      </c>
      <c r="F47" s="13" t="s">
        <v>139</v>
      </c>
      <c r="G47" s="53" t="s">
        <v>2</v>
      </c>
      <c r="H47" s="65" t="s">
        <v>167</v>
      </c>
      <c r="I47" s="34">
        <v>98000</v>
      </c>
      <c r="J47" s="35">
        <f>IFERROR(VLOOKUP(E47,'[1]8월 출고'!$B:$E,4,0),0)</f>
        <v>64990</v>
      </c>
      <c r="K47" s="31">
        <v>48800</v>
      </c>
      <c r="L47" s="32">
        <v>888</v>
      </c>
      <c r="M47" s="33">
        <v>28</v>
      </c>
      <c r="N47" s="69">
        <v>43</v>
      </c>
      <c r="O47" s="33">
        <v>30</v>
      </c>
      <c r="P47" s="84" t="s">
        <v>207</v>
      </c>
    </row>
    <row r="48" spans="2:17" x14ac:dyDescent="0.25">
      <c r="B48" s="150"/>
      <c r="C48" s="154"/>
      <c r="D48" s="176"/>
      <c r="E48" s="13">
        <v>72614936</v>
      </c>
      <c r="F48" s="13" t="s">
        <v>139</v>
      </c>
      <c r="G48" s="8" t="s">
        <v>112</v>
      </c>
      <c r="H48" s="65" t="s">
        <v>231</v>
      </c>
      <c r="I48" s="34">
        <v>24898</v>
      </c>
      <c r="J48" s="35">
        <f>IFERROR(VLOOKUP(E48,'[1]8월 출고'!$B:$E,4,0),0)</f>
        <v>16683</v>
      </c>
      <c r="K48" s="31">
        <v>10800</v>
      </c>
      <c r="L48" s="25">
        <v>888</v>
      </c>
      <c r="M48" s="33">
        <v>65</v>
      </c>
      <c r="N48" s="69" t="s">
        <v>207</v>
      </c>
      <c r="O48" s="33">
        <v>70</v>
      </c>
      <c r="P48" s="84" t="s">
        <v>207</v>
      </c>
    </row>
    <row r="49" spans="2:17" x14ac:dyDescent="0.25">
      <c r="B49" s="150"/>
      <c r="C49" s="154"/>
      <c r="D49" s="176"/>
      <c r="E49" s="13">
        <v>72614937</v>
      </c>
      <c r="F49" s="13" t="s">
        <v>139</v>
      </c>
      <c r="G49" s="8" t="s">
        <v>113</v>
      </c>
      <c r="H49" s="65" t="s">
        <v>231</v>
      </c>
      <c r="I49" s="34">
        <v>24899</v>
      </c>
      <c r="J49" s="35">
        <f>IFERROR(VLOOKUP(E49,'[1]8월 출고'!$B:$E,4,0),0)</f>
        <v>16683</v>
      </c>
      <c r="K49" s="31">
        <v>10800</v>
      </c>
      <c r="L49" s="25">
        <v>888</v>
      </c>
      <c r="M49" s="33">
        <v>70</v>
      </c>
      <c r="N49" s="69" t="s">
        <v>207</v>
      </c>
      <c r="O49" s="33">
        <v>70</v>
      </c>
      <c r="P49" s="84" t="s">
        <v>207</v>
      </c>
    </row>
    <row r="50" spans="2:17" s="16" customFormat="1" x14ac:dyDescent="0.25">
      <c r="B50" s="150"/>
      <c r="C50" s="154"/>
      <c r="D50" s="153"/>
      <c r="E50" s="15">
        <v>72614935</v>
      </c>
      <c r="F50" s="12" t="s">
        <v>139</v>
      </c>
      <c r="G50" s="8" t="s">
        <v>114</v>
      </c>
      <c r="H50" s="65" t="s">
        <v>231</v>
      </c>
      <c r="I50" s="34">
        <v>24900</v>
      </c>
      <c r="J50" s="35">
        <f>IFERROR(VLOOKUP(E50,'[1]8월 출고'!$B:$E,4,0),0)</f>
        <v>16683</v>
      </c>
      <c r="K50" s="31">
        <v>10800</v>
      </c>
      <c r="L50" s="25">
        <v>888</v>
      </c>
      <c r="M50" s="49">
        <v>86</v>
      </c>
      <c r="N50" s="69" t="s">
        <v>207</v>
      </c>
      <c r="O50" s="49">
        <v>70</v>
      </c>
      <c r="P50" s="84" t="s">
        <v>207</v>
      </c>
    </row>
    <row r="51" spans="2:17" x14ac:dyDescent="0.25">
      <c r="B51" s="150"/>
      <c r="C51" s="154"/>
      <c r="D51" s="175" t="s">
        <v>60</v>
      </c>
      <c r="E51" s="13">
        <v>72417582</v>
      </c>
      <c r="F51" s="13" t="s">
        <v>139</v>
      </c>
      <c r="G51" s="53" t="s">
        <v>65</v>
      </c>
      <c r="H51" s="65" t="s">
        <v>168</v>
      </c>
      <c r="I51" s="34">
        <v>329000</v>
      </c>
      <c r="J51" s="35">
        <f>IFERROR(VLOOKUP(E51,'[1]8월 출고'!$B:$E,4,0),0)</f>
        <v>200330</v>
      </c>
      <c r="K51" s="31">
        <v>158800</v>
      </c>
      <c r="L51" s="32">
        <v>188</v>
      </c>
      <c r="M51" s="33">
        <v>53</v>
      </c>
      <c r="N51" s="69" t="s">
        <v>207</v>
      </c>
      <c r="O51" s="33">
        <v>70</v>
      </c>
      <c r="P51" s="84" t="s">
        <v>207</v>
      </c>
      <c r="Q51" s="9"/>
    </row>
    <row r="52" spans="2:17" ht="16.5" customHeight="1" x14ac:dyDescent="0.25">
      <c r="B52" s="150"/>
      <c r="C52" s="154"/>
      <c r="D52" s="176"/>
      <c r="E52" s="13">
        <v>60019261</v>
      </c>
      <c r="F52" s="13" t="s">
        <v>139</v>
      </c>
      <c r="G52" s="53" t="s">
        <v>33</v>
      </c>
      <c r="H52" s="65" t="s">
        <v>169</v>
      </c>
      <c r="I52" s="34">
        <v>139000</v>
      </c>
      <c r="J52" s="35">
        <f>IFERROR(VLOOKUP(E52,'[1]8월 출고'!$B:$E,4,0),0)</f>
        <v>92460</v>
      </c>
      <c r="K52" s="31">
        <v>68800</v>
      </c>
      <c r="L52" s="32">
        <v>188</v>
      </c>
      <c r="M52" s="33">
        <v>179</v>
      </c>
      <c r="N52" s="69" t="s">
        <v>207</v>
      </c>
      <c r="O52" s="33">
        <v>100</v>
      </c>
      <c r="P52" s="84" t="s">
        <v>207</v>
      </c>
    </row>
    <row r="53" spans="2:17" ht="17.25" customHeight="1" thickBot="1" x14ac:dyDescent="0.3">
      <c r="B53" s="151"/>
      <c r="C53" s="155"/>
      <c r="D53" s="177"/>
      <c r="E53" s="13">
        <v>59759466</v>
      </c>
      <c r="F53" s="13" t="s">
        <v>139</v>
      </c>
      <c r="G53" s="53" t="s">
        <v>39</v>
      </c>
      <c r="H53" s="65" t="s">
        <v>170</v>
      </c>
      <c r="I53" s="34">
        <v>169000</v>
      </c>
      <c r="J53" s="35">
        <f>IFERROR(VLOOKUP(E53,'[1]8월 출고'!$B:$E,4,0),0)</f>
        <v>112560</v>
      </c>
      <c r="K53" s="31">
        <v>78800</v>
      </c>
      <c r="L53" s="32">
        <v>188</v>
      </c>
      <c r="M53" s="33">
        <v>127</v>
      </c>
      <c r="N53" s="69">
        <v>30</v>
      </c>
      <c r="O53" s="33">
        <v>50</v>
      </c>
      <c r="P53" s="84" t="s">
        <v>207</v>
      </c>
    </row>
    <row r="54" spans="2:17" ht="16.5" customHeight="1" thickTop="1" x14ac:dyDescent="0.25">
      <c r="B54" s="160" t="s">
        <v>50</v>
      </c>
      <c r="C54" s="167" t="s">
        <v>54</v>
      </c>
      <c r="D54" s="185" t="s">
        <v>72</v>
      </c>
      <c r="E54" s="17">
        <v>3636926</v>
      </c>
      <c r="F54" s="13" t="s">
        <v>139</v>
      </c>
      <c r="G54" s="57" t="s">
        <v>1</v>
      </c>
      <c r="H54" s="65" t="s">
        <v>171</v>
      </c>
      <c r="I54" s="34">
        <v>39800</v>
      </c>
      <c r="J54" s="35">
        <f>IFERROR(VLOOKUP(E54,'[1]8월 출고'!$B:$E,4,0),0)</f>
        <v>26666</v>
      </c>
      <c r="K54" s="31">
        <v>20800</v>
      </c>
      <c r="L54" s="32">
        <v>888</v>
      </c>
      <c r="M54" s="33">
        <v>7</v>
      </c>
      <c r="N54" s="69">
        <v>150</v>
      </c>
      <c r="O54" s="33">
        <v>150</v>
      </c>
      <c r="P54" s="84">
        <v>150</v>
      </c>
    </row>
    <row r="55" spans="2:17" x14ac:dyDescent="0.25">
      <c r="B55" s="161"/>
      <c r="C55" s="168"/>
      <c r="D55" s="186"/>
      <c r="E55" s="6">
        <v>10855225</v>
      </c>
      <c r="F55" s="13" t="s">
        <v>139</v>
      </c>
      <c r="G55" s="14" t="s">
        <v>0</v>
      </c>
      <c r="H55" s="65" t="s">
        <v>172</v>
      </c>
      <c r="I55" s="34">
        <v>29800</v>
      </c>
      <c r="J55" s="35">
        <f>IFERROR(VLOOKUP(E55,'[1]8월 출고'!$B:$E,4,0),0)</f>
        <v>19966</v>
      </c>
      <c r="K55" s="31">
        <v>17800</v>
      </c>
      <c r="L55" s="32">
        <v>888</v>
      </c>
      <c r="M55" s="33">
        <v>200</v>
      </c>
      <c r="N55" s="69">
        <v>328</v>
      </c>
      <c r="O55" s="33">
        <v>300</v>
      </c>
      <c r="P55" s="84">
        <v>200</v>
      </c>
      <c r="Q55" s="9"/>
    </row>
    <row r="56" spans="2:17" x14ac:dyDescent="0.25">
      <c r="B56" s="161"/>
      <c r="C56" s="168"/>
      <c r="D56" s="186"/>
      <c r="E56" s="6">
        <v>12846215</v>
      </c>
      <c r="F56" s="13" t="s">
        <v>139</v>
      </c>
      <c r="G56" s="14" t="s">
        <v>8</v>
      </c>
      <c r="H56" s="65" t="s">
        <v>173</v>
      </c>
      <c r="I56" s="34">
        <v>39800</v>
      </c>
      <c r="J56" s="35">
        <f>IFERROR(VLOOKUP(E56,'[1]8월 출고'!$B:$E,4,0),0)</f>
        <v>26666</v>
      </c>
      <c r="K56" s="31">
        <v>19800</v>
      </c>
      <c r="L56" s="32">
        <v>888</v>
      </c>
      <c r="M56" s="33">
        <v>2679</v>
      </c>
      <c r="N56" s="69" t="s">
        <v>205</v>
      </c>
      <c r="O56" s="33">
        <v>2000</v>
      </c>
      <c r="P56" s="84" t="s">
        <v>207</v>
      </c>
      <c r="Q56" s="9"/>
    </row>
    <row r="57" spans="2:17" x14ac:dyDescent="0.25">
      <c r="B57" s="161"/>
      <c r="C57" s="168"/>
      <c r="D57" s="186"/>
      <c r="E57" s="6">
        <v>11671481</v>
      </c>
      <c r="F57" s="13" t="s">
        <v>139</v>
      </c>
      <c r="G57" s="14" t="s">
        <v>12</v>
      </c>
      <c r="H57" s="65" t="s">
        <v>174</v>
      </c>
      <c r="I57" s="34">
        <v>39800</v>
      </c>
      <c r="J57" s="35">
        <f>IFERROR(VLOOKUP(E57,'[1]8월 출고'!$B:$E,4,0),0)</f>
        <v>24656</v>
      </c>
      <c r="K57" s="31">
        <v>19800</v>
      </c>
      <c r="L57" s="32">
        <v>888</v>
      </c>
      <c r="M57" s="33">
        <v>160</v>
      </c>
      <c r="N57" s="69">
        <v>122</v>
      </c>
      <c r="O57" s="33">
        <v>150</v>
      </c>
      <c r="P57" s="84" t="s">
        <v>207</v>
      </c>
      <c r="Q57" s="9"/>
    </row>
    <row r="58" spans="2:17" x14ac:dyDescent="0.25">
      <c r="B58" s="161"/>
      <c r="C58" s="168"/>
      <c r="D58" s="186"/>
      <c r="E58" s="6">
        <v>12465755</v>
      </c>
      <c r="F58" s="13" t="s">
        <v>139</v>
      </c>
      <c r="G58" s="14" t="s">
        <v>13</v>
      </c>
      <c r="H58" s="65" t="s">
        <v>174</v>
      </c>
      <c r="I58" s="34"/>
      <c r="J58" s="35">
        <f>IFERROR(VLOOKUP(E58,'[1]8월 출고'!$B:$E,4,0),0)</f>
        <v>24656</v>
      </c>
      <c r="K58" s="31">
        <v>19800</v>
      </c>
      <c r="L58" s="32">
        <v>888</v>
      </c>
      <c r="M58" s="33">
        <v>34</v>
      </c>
      <c r="N58" s="69">
        <v>89</v>
      </c>
      <c r="O58" s="33">
        <v>100</v>
      </c>
      <c r="P58" s="84">
        <v>100</v>
      </c>
      <c r="Q58" s="9"/>
    </row>
    <row r="59" spans="2:17" x14ac:dyDescent="0.25">
      <c r="B59" s="161"/>
      <c r="C59" s="168"/>
      <c r="D59" s="186"/>
      <c r="E59" s="6">
        <v>58722261</v>
      </c>
      <c r="F59" s="12" t="s">
        <v>139</v>
      </c>
      <c r="G59" s="53" t="s">
        <v>84</v>
      </c>
      <c r="H59" s="65" t="s">
        <v>175</v>
      </c>
      <c r="I59" s="34">
        <v>32800</v>
      </c>
      <c r="J59" s="35">
        <f>IFERROR(VLOOKUP(E59,'[1]8월 출고'!$B:$E,4,0),0)</f>
        <v>18693</v>
      </c>
      <c r="K59" s="31">
        <v>14800</v>
      </c>
      <c r="L59" s="32">
        <v>888</v>
      </c>
      <c r="M59" s="33">
        <v>185</v>
      </c>
      <c r="N59" s="69">
        <v>177</v>
      </c>
      <c r="O59" s="33">
        <v>150</v>
      </c>
      <c r="P59" s="84" t="s">
        <v>207</v>
      </c>
      <c r="Q59" s="9"/>
    </row>
    <row r="60" spans="2:17" x14ac:dyDescent="0.25">
      <c r="B60" s="161"/>
      <c r="C60" s="168"/>
      <c r="D60" s="186"/>
      <c r="E60" s="6">
        <v>52162444</v>
      </c>
      <c r="F60" s="12" t="s">
        <v>139</v>
      </c>
      <c r="G60" s="53" t="s">
        <v>115</v>
      </c>
      <c r="H60" s="65" t="s">
        <v>176</v>
      </c>
      <c r="I60" s="34"/>
      <c r="J60" s="35">
        <f>IFERROR(VLOOKUP(E60,'[1]8월 출고'!$B:$E,4,0),0)</f>
        <v>43416</v>
      </c>
      <c r="K60" s="31">
        <v>38800</v>
      </c>
      <c r="L60" s="32">
        <v>888</v>
      </c>
      <c r="M60" s="33">
        <v>401</v>
      </c>
      <c r="N60" s="69" t="s">
        <v>205</v>
      </c>
      <c r="O60" s="33">
        <v>300</v>
      </c>
      <c r="P60" s="84" t="s">
        <v>207</v>
      </c>
      <c r="Q60" s="9"/>
    </row>
    <row r="61" spans="2:17" x14ac:dyDescent="0.25">
      <c r="B61" s="161"/>
      <c r="C61" s="168"/>
      <c r="D61" s="186"/>
      <c r="E61" s="6">
        <v>47936724</v>
      </c>
      <c r="F61" s="12" t="s">
        <v>139</v>
      </c>
      <c r="G61" s="53" t="s">
        <v>31</v>
      </c>
      <c r="H61" s="65" t="s">
        <v>176</v>
      </c>
      <c r="I61" s="34"/>
      <c r="J61" s="35">
        <f>IFERROR(VLOOKUP(E61,'[1]8월 출고'!$B:$E,4,0),0)</f>
        <v>43416</v>
      </c>
      <c r="K61" s="31">
        <v>38800</v>
      </c>
      <c r="L61" s="32">
        <v>888</v>
      </c>
      <c r="M61" s="33">
        <v>197</v>
      </c>
      <c r="N61" s="69" t="s">
        <v>205</v>
      </c>
      <c r="O61" s="33">
        <v>100</v>
      </c>
      <c r="P61" s="84" t="s">
        <v>207</v>
      </c>
      <c r="Q61" s="9"/>
    </row>
    <row r="62" spans="2:17" x14ac:dyDescent="0.25">
      <c r="B62" s="161"/>
      <c r="C62" s="168"/>
      <c r="D62" s="187"/>
      <c r="E62" s="6">
        <v>75741354</v>
      </c>
      <c r="F62" s="12" t="s">
        <v>139</v>
      </c>
      <c r="G62" s="51" t="s">
        <v>116</v>
      </c>
      <c r="H62" s="65" t="s">
        <v>176</v>
      </c>
      <c r="I62" s="36">
        <v>69000</v>
      </c>
      <c r="J62" s="35">
        <f>IFERROR(VLOOKUP(E62,'[1]8월 출고'!$B:$E,4,0),0)</f>
        <v>43416</v>
      </c>
      <c r="K62" s="31">
        <v>38800</v>
      </c>
      <c r="L62" s="32">
        <v>888</v>
      </c>
      <c r="M62" s="33">
        <v>89</v>
      </c>
      <c r="N62" s="69" t="s">
        <v>205</v>
      </c>
      <c r="O62" s="33">
        <v>100</v>
      </c>
      <c r="P62" s="84">
        <v>50</v>
      </c>
    </row>
    <row r="63" spans="2:17" x14ac:dyDescent="0.25">
      <c r="B63" s="161"/>
      <c r="C63" s="168"/>
      <c r="D63" s="178" t="s">
        <v>60</v>
      </c>
      <c r="E63" s="6">
        <v>73893263</v>
      </c>
      <c r="F63" s="12" t="s">
        <v>139</v>
      </c>
      <c r="G63" s="51" t="s">
        <v>117</v>
      </c>
      <c r="H63" s="65" t="s">
        <v>177</v>
      </c>
      <c r="I63" s="34">
        <v>49800</v>
      </c>
      <c r="J63" s="35">
        <f>IFERROR(VLOOKUP(E63,'[1]8월 출고'!$B:$E,4,0),0)</f>
        <v>34362</v>
      </c>
      <c r="K63" s="31">
        <v>28800</v>
      </c>
      <c r="L63" s="32">
        <v>888</v>
      </c>
      <c r="M63" s="33">
        <v>268</v>
      </c>
      <c r="N63" s="69">
        <v>377</v>
      </c>
      <c r="O63" s="33">
        <v>400</v>
      </c>
      <c r="P63" s="84">
        <v>200</v>
      </c>
    </row>
    <row r="64" spans="2:17" x14ac:dyDescent="0.25">
      <c r="B64" s="161"/>
      <c r="C64" s="168"/>
      <c r="D64" s="179"/>
      <c r="E64" s="6">
        <v>74693807</v>
      </c>
      <c r="F64" s="12" t="s">
        <v>139</v>
      </c>
      <c r="G64" s="51" t="s">
        <v>118</v>
      </c>
      <c r="H64" s="65" t="s">
        <v>177</v>
      </c>
      <c r="I64" s="34"/>
      <c r="J64" s="35">
        <f>IFERROR(VLOOKUP(E64,'[1]8월 출고'!$B:$E,4,0),0)</f>
        <v>34362</v>
      </c>
      <c r="K64" s="31">
        <v>28800</v>
      </c>
      <c r="L64" s="32">
        <v>888</v>
      </c>
      <c r="M64" s="33">
        <v>240</v>
      </c>
      <c r="N64" s="69">
        <v>377</v>
      </c>
      <c r="O64" s="33">
        <v>400</v>
      </c>
      <c r="P64" s="84">
        <v>200</v>
      </c>
    </row>
    <row r="65" spans="2:16" ht="16.899999999999999" customHeight="1" x14ac:dyDescent="0.25">
      <c r="B65" s="161"/>
      <c r="C65" s="168"/>
      <c r="D65" s="179"/>
      <c r="E65" s="6">
        <v>50723598</v>
      </c>
      <c r="F65" s="12" t="s">
        <v>139</v>
      </c>
      <c r="G65" s="51" t="s">
        <v>22</v>
      </c>
      <c r="H65" s="65" t="s">
        <v>224</v>
      </c>
      <c r="I65" s="34">
        <v>39800</v>
      </c>
      <c r="J65" s="35">
        <f>IFERROR(VLOOKUP(E65,'[1]8월 출고'!$B:$E,4,0),0)</f>
        <v>26733</v>
      </c>
      <c r="K65" s="31">
        <v>19800</v>
      </c>
      <c r="L65" s="32">
        <v>888</v>
      </c>
      <c r="M65" s="33">
        <v>71</v>
      </c>
      <c r="N65" s="69" t="s">
        <v>207</v>
      </c>
      <c r="O65" s="33">
        <v>100</v>
      </c>
      <c r="P65" s="84" t="s">
        <v>207</v>
      </c>
    </row>
    <row r="66" spans="2:16" ht="17.25" customHeight="1" thickBot="1" x14ac:dyDescent="0.3">
      <c r="B66" s="162"/>
      <c r="C66" s="169"/>
      <c r="D66" s="180"/>
      <c r="E66" s="10">
        <v>74550323</v>
      </c>
      <c r="F66" s="12" t="s">
        <v>139</v>
      </c>
      <c r="G66" s="14" t="s">
        <v>119</v>
      </c>
      <c r="H66" s="65" t="s">
        <v>178</v>
      </c>
      <c r="I66" s="34">
        <v>179000</v>
      </c>
      <c r="J66" s="35">
        <f>IFERROR(VLOOKUP(E66,'[1]8월 출고'!$B:$E,4,0),0)</f>
        <v>119930</v>
      </c>
      <c r="K66" s="31">
        <v>98800</v>
      </c>
      <c r="L66" s="32">
        <v>188</v>
      </c>
      <c r="M66" s="33">
        <v>355</v>
      </c>
      <c r="N66" s="69" t="s">
        <v>207</v>
      </c>
      <c r="O66" s="33">
        <v>100</v>
      </c>
      <c r="P66" s="84" t="s">
        <v>207</v>
      </c>
    </row>
    <row r="67" spans="2:16" ht="16.5" customHeight="1" thickTop="1" x14ac:dyDescent="0.25">
      <c r="B67" s="148" t="s">
        <v>51</v>
      </c>
      <c r="C67" s="163" t="s">
        <v>66</v>
      </c>
      <c r="D67" s="188" t="s">
        <v>72</v>
      </c>
      <c r="E67" s="11">
        <v>38415503</v>
      </c>
      <c r="F67" s="12" t="s">
        <v>139</v>
      </c>
      <c r="G67" s="58" t="s">
        <v>85</v>
      </c>
      <c r="H67" s="65" t="s">
        <v>179</v>
      </c>
      <c r="I67" s="47">
        <v>39800</v>
      </c>
      <c r="J67" s="35">
        <f>IFERROR(VLOOKUP(E67,'[1]8월 출고'!$B:$E,4,0),0)</f>
        <v>23316</v>
      </c>
      <c r="K67" s="31">
        <v>18800</v>
      </c>
      <c r="L67" s="32">
        <v>888</v>
      </c>
      <c r="M67" s="33">
        <v>7</v>
      </c>
      <c r="N67" s="69" t="s">
        <v>205</v>
      </c>
      <c r="O67" s="33">
        <v>50</v>
      </c>
      <c r="P67" s="84">
        <v>100</v>
      </c>
    </row>
    <row r="68" spans="2:16" ht="16.5" customHeight="1" x14ac:dyDescent="0.25">
      <c r="B68" s="149"/>
      <c r="C68" s="164"/>
      <c r="D68" s="189"/>
      <c r="E68" s="12">
        <v>67438487</v>
      </c>
      <c r="F68" s="12" t="s">
        <v>139</v>
      </c>
      <c r="G68" s="59" t="s">
        <v>123</v>
      </c>
      <c r="H68" s="65" t="s">
        <v>179</v>
      </c>
      <c r="I68" s="47"/>
      <c r="J68" s="35">
        <f>IFERROR(VLOOKUP(E68,'[1]8월 출고'!$B:$E,4,0),0)</f>
        <v>23316</v>
      </c>
      <c r="K68" s="31">
        <v>18800</v>
      </c>
      <c r="L68" s="32">
        <v>888</v>
      </c>
      <c r="M68" s="33">
        <v>1</v>
      </c>
      <c r="N68" s="69" t="s">
        <v>205</v>
      </c>
      <c r="O68" s="33">
        <v>50</v>
      </c>
      <c r="P68" s="84">
        <v>100</v>
      </c>
    </row>
    <row r="69" spans="2:16" ht="16.5" customHeight="1" x14ac:dyDescent="0.25">
      <c r="B69" s="149"/>
      <c r="C69" s="164"/>
      <c r="D69" s="189"/>
      <c r="E69" s="12">
        <v>67438488</v>
      </c>
      <c r="F69" s="12" t="s">
        <v>139</v>
      </c>
      <c r="G69" s="59" t="s">
        <v>124</v>
      </c>
      <c r="H69" s="65" t="s">
        <v>179</v>
      </c>
      <c r="I69" s="47"/>
      <c r="J69" s="35">
        <f>IFERROR(VLOOKUP(E69,'[1]8월 출고'!$B:$E,4,0),0)</f>
        <v>23316</v>
      </c>
      <c r="K69" s="31">
        <v>18800</v>
      </c>
      <c r="L69" s="32">
        <v>888</v>
      </c>
      <c r="M69" s="33">
        <v>4</v>
      </c>
      <c r="N69" s="69" t="s">
        <v>205</v>
      </c>
      <c r="O69" s="33">
        <v>50</v>
      </c>
      <c r="P69" s="84">
        <v>100</v>
      </c>
    </row>
    <row r="70" spans="2:16" x14ac:dyDescent="0.25">
      <c r="B70" s="150"/>
      <c r="C70" s="165"/>
      <c r="D70" s="189"/>
      <c r="E70" s="13">
        <v>73226633</v>
      </c>
      <c r="F70" s="12" t="s">
        <v>139</v>
      </c>
      <c r="G70" s="51" t="s">
        <v>86</v>
      </c>
      <c r="H70" s="65" t="s">
        <v>180</v>
      </c>
      <c r="I70" s="36">
        <v>44800</v>
      </c>
      <c r="J70" s="35">
        <f>IFERROR(VLOOKUP(E70,'[1]8월 출고'!$B:$E,4,0),0)</f>
        <v>30083</v>
      </c>
      <c r="K70" s="31">
        <v>18800</v>
      </c>
      <c r="L70" s="32">
        <v>888</v>
      </c>
      <c r="M70" s="33">
        <v>32</v>
      </c>
      <c r="N70" s="69" t="s">
        <v>205</v>
      </c>
      <c r="O70" s="33">
        <v>50</v>
      </c>
      <c r="P70" s="84">
        <v>70</v>
      </c>
    </row>
    <row r="71" spans="2:16" x14ac:dyDescent="0.25">
      <c r="B71" s="150"/>
      <c r="C71" s="165"/>
      <c r="D71" s="189"/>
      <c r="E71" s="13">
        <v>66357977</v>
      </c>
      <c r="F71" s="12" t="s">
        <v>139</v>
      </c>
      <c r="G71" s="51" t="s">
        <v>87</v>
      </c>
      <c r="H71" s="65" t="s">
        <v>181</v>
      </c>
      <c r="I71" s="47">
        <v>69800</v>
      </c>
      <c r="J71" s="35">
        <f>IFERROR(VLOOKUP(E71,'[1]8월 출고'!$B:$E,4,0),0)</f>
        <v>33433</v>
      </c>
      <c r="K71" s="31">
        <v>28800</v>
      </c>
      <c r="L71" s="32">
        <v>888</v>
      </c>
      <c r="M71" s="33">
        <v>258</v>
      </c>
      <c r="N71" s="69" t="s">
        <v>205</v>
      </c>
      <c r="O71" s="33">
        <v>200</v>
      </c>
      <c r="P71" s="84" t="s">
        <v>207</v>
      </c>
    </row>
    <row r="72" spans="2:16" x14ac:dyDescent="0.25">
      <c r="B72" s="150"/>
      <c r="C72" s="165"/>
      <c r="D72" s="189"/>
      <c r="E72" s="13">
        <v>69039437</v>
      </c>
      <c r="F72" s="12" t="s">
        <v>139</v>
      </c>
      <c r="G72" s="51" t="s">
        <v>125</v>
      </c>
      <c r="H72" s="65" t="s">
        <v>181</v>
      </c>
      <c r="I72" s="47"/>
      <c r="J72" s="35">
        <f>IFERROR(VLOOKUP(E72,'[1]8월 출고'!$B:$E,4,0),0)</f>
        <v>33433</v>
      </c>
      <c r="K72" s="31">
        <v>28800</v>
      </c>
      <c r="L72" s="32">
        <v>888</v>
      </c>
      <c r="M72" s="33">
        <v>77</v>
      </c>
      <c r="N72" s="69" t="s">
        <v>205</v>
      </c>
      <c r="O72" s="33">
        <v>100</v>
      </c>
      <c r="P72" s="84">
        <v>50</v>
      </c>
    </row>
    <row r="73" spans="2:16" x14ac:dyDescent="0.25">
      <c r="B73" s="150"/>
      <c r="C73" s="165"/>
      <c r="D73" s="189"/>
      <c r="E73" s="13">
        <v>69039778</v>
      </c>
      <c r="F73" s="12" t="s">
        <v>139</v>
      </c>
      <c r="G73" s="51" t="s">
        <v>126</v>
      </c>
      <c r="H73" s="65" t="s">
        <v>181</v>
      </c>
      <c r="I73" s="47"/>
      <c r="J73" s="35">
        <f>IFERROR(VLOOKUP(E73,'[1]8월 출고'!$B:$E,4,0),0)</f>
        <v>33433</v>
      </c>
      <c r="K73" s="31">
        <v>28800</v>
      </c>
      <c r="L73" s="32">
        <v>888</v>
      </c>
      <c r="M73" s="33">
        <v>47</v>
      </c>
      <c r="N73" s="69" t="s">
        <v>205</v>
      </c>
      <c r="O73" s="33">
        <v>100</v>
      </c>
      <c r="P73" s="84">
        <v>70</v>
      </c>
    </row>
    <row r="74" spans="2:16" x14ac:dyDescent="0.25">
      <c r="B74" s="150"/>
      <c r="C74" s="165"/>
      <c r="D74" s="189"/>
      <c r="E74" s="13">
        <v>61199642</v>
      </c>
      <c r="F74" s="12" t="s">
        <v>139</v>
      </c>
      <c r="G74" s="51" t="s">
        <v>88</v>
      </c>
      <c r="H74" s="65" t="s">
        <v>182</v>
      </c>
      <c r="I74" s="47">
        <v>98000</v>
      </c>
      <c r="J74" s="35">
        <f>IFERROR(VLOOKUP(E74,'[1]8월 출고'!$B:$E,4,0),0)</f>
        <v>58960</v>
      </c>
      <c r="K74" s="31">
        <v>38800</v>
      </c>
      <c r="L74" s="32">
        <v>888</v>
      </c>
      <c r="M74" s="33">
        <v>8</v>
      </c>
      <c r="N74" s="69">
        <v>105</v>
      </c>
      <c r="O74" s="33">
        <v>70</v>
      </c>
      <c r="P74" s="84">
        <v>50</v>
      </c>
    </row>
    <row r="75" spans="2:16" x14ac:dyDescent="0.25">
      <c r="B75" s="150"/>
      <c r="C75" s="165"/>
      <c r="D75" s="189"/>
      <c r="E75" s="13">
        <v>61929493</v>
      </c>
      <c r="F75" s="12" t="s">
        <v>139</v>
      </c>
      <c r="G75" s="51" t="s">
        <v>89</v>
      </c>
      <c r="H75" s="65" t="s">
        <v>183</v>
      </c>
      <c r="I75" s="47">
        <v>138000</v>
      </c>
      <c r="J75" s="35">
        <f>IFERROR(VLOOKUP(E75,'[1]8월 출고'!$B:$E,4,0),0)</f>
        <v>85760</v>
      </c>
      <c r="K75" s="31">
        <v>58800</v>
      </c>
      <c r="L75" s="32">
        <v>888</v>
      </c>
      <c r="M75" s="33">
        <v>12</v>
      </c>
      <c r="N75" s="69">
        <v>379</v>
      </c>
      <c r="O75" s="33">
        <v>70</v>
      </c>
      <c r="P75" s="84">
        <v>100</v>
      </c>
    </row>
    <row r="76" spans="2:16" x14ac:dyDescent="0.25">
      <c r="B76" s="150"/>
      <c r="C76" s="165"/>
      <c r="D76" s="189"/>
      <c r="E76" s="13">
        <v>61929494</v>
      </c>
      <c r="F76" s="12" t="s">
        <v>139</v>
      </c>
      <c r="G76" s="8" t="s">
        <v>127</v>
      </c>
      <c r="H76" s="65" t="s">
        <v>183</v>
      </c>
      <c r="I76" s="47"/>
      <c r="J76" s="35">
        <f>IFERROR(VLOOKUP(E76,'[1]8월 출고'!$B:$E,4,0),0)</f>
        <v>85760</v>
      </c>
      <c r="K76" s="31">
        <v>58800</v>
      </c>
      <c r="L76" s="32">
        <v>888</v>
      </c>
      <c r="M76" s="33">
        <v>7</v>
      </c>
      <c r="N76" s="69">
        <v>379</v>
      </c>
      <c r="O76" s="33">
        <v>70</v>
      </c>
      <c r="P76" s="84">
        <v>50</v>
      </c>
    </row>
    <row r="77" spans="2:16" x14ac:dyDescent="0.25">
      <c r="B77" s="150"/>
      <c r="C77" s="165"/>
      <c r="D77" s="164"/>
      <c r="E77" s="13">
        <v>59944694</v>
      </c>
      <c r="F77" s="12" t="s">
        <v>139</v>
      </c>
      <c r="G77" s="51" t="s">
        <v>90</v>
      </c>
      <c r="H77" s="65" t="s">
        <v>184</v>
      </c>
      <c r="I77" s="47">
        <v>42800</v>
      </c>
      <c r="J77" s="35">
        <f>IFERROR(VLOOKUP(E77,'[1]8월 출고'!$B:$E,4,0),0)</f>
        <v>28743</v>
      </c>
      <c r="K77" s="31">
        <v>18800</v>
      </c>
      <c r="L77" s="32">
        <v>888</v>
      </c>
      <c r="M77" s="33">
        <v>65</v>
      </c>
      <c r="N77" s="69">
        <v>88</v>
      </c>
      <c r="O77" s="33">
        <v>70</v>
      </c>
      <c r="P77" s="84">
        <v>50</v>
      </c>
    </row>
    <row r="78" spans="2:16" x14ac:dyDescent="0.25">
      <c r="B78" s="150"/>
      <c r="C78" s="165"/>
      <c r="D78" s="175" t="s">
        <v>60</v>
      </c>
      <c r="E78" s="13">
        <v>70251147</v>
      </c>
      <c r="F78" s="12" t="s">
        <v>139</v>
      </c>
      <c r="G78" s="14" t="s">
        <v>128</v>
      </c>
      <c r="H78" s="65" t="s">
        <v>185</v>
      </c>
      <c r="I78" s="36">
        <v>44800</v>
      </c>
      <c r="J78" s="35">
        <f>IFERROR(VLOOKUP(E78,'[1]8월 출고'!$B:$E,4,0),0)</f>
        <v>30083</v>
      </c>
      <c r="K78" s="31">
        <v>22800</v>
      </c>
      <c r="L78" s="32">
        <v>888</v>
      </c>
      <c r="M78" s="33">
        <v>56</v>
      </c>
      <c r="N78" s="69" t="s">
        <v>207</v>
      </c>
      <c r="O78" s="33">
        <v>100</v>
      </c>
      <c r="P78" s="84">
        <v>100</v>
      </c>
    </row>
    <row r="79" spans="2:16" x14ac:dyDescent="0.25">
      <c r="B79" s="150"/>
      <c r="C79" s="165"/>
      <c r="D79" s="176"/>
      <c r="E79" s="13">
        <v>12362063</v>
      </c>
      <c r="F79" s="12" t="s">
        <v>139</v>
      </c>
      <c r="G79" s="51" t="s">
        <v>68</v>
      </c>
      <c r="H79" s="65" t="s">
        <v>186</v>
      </c>
      <c r="I79" s="36">
        <v>157900</v>
      </c>
      <c r="J79" s="35">
        <f>IFERROR(VLOOKUP(E79,'[1]8월 출고'!$B:$E,4,0),0)</f>
        <v>92460</v>
      </c>
      <c r="K79" s="31">
        <v>88800</v>
      </c>
      <c r="L79" s="32">
        <v>888</v>
      </c>
      <c r="M79" s="33">
        <v>74</v>
      </c>
      <c r="N79" s="69" t="s">
        <v>207</v>
      </c>
      <c r="O79" s="33">
        <v>100</v>
      </c>
      <c r="P79" s="84">
        <v>100</v>
      </c>
    </row>
    <row r="80" spans="2:16" ht="14.25" thickBot="1" x14ac:dyDescent="0.3">
      <c r="B80" s="151"/>
      <c r="C80" s="166"/>
      <c r="D80" s="177"/>
      <c r="E80" s="13">
        <v>67900090</v>
      </c>
      <c r="F80" s="12" t="s">
        <v>139</v>
      </c>
      <c r="G80" s="51" t="s">
        <v>69</v>
      </c>
      <c r="H80" s="65" t="s">
        <v>187</v>
      </c>
      <c r="I80" s="36">
        <v>69800</v>
      </c>
      <c r="J80" s="35">
        <f>IFERROR(VLOOKUP(E80,'[1]8월 출고'!$B:$E,4,0),0)</f>
        <v>43483</v>
      </c>
      <c r="K80" s="31">
        <v>39800</v>
      </c>
      <c r="L80" s="32">
        <v>888</v>
      </c>
      <c r="M80" s="33">
        <v>5</v>
      </c>
      <c r="N80" s="69" t="s">
        <v>207</v>
      </c>
      <c r="O80" s="33">
        <v>100</v>
      </c>
      <c r="P80" s="84">
        <v>100</v>
      </c>
    </row>
    <row r="81" spans="2:17" ht="16.5" customHeight="1" thickTop="1" x14ac:dyDescent="0.25">
      <c r="B81" s="134" t="s">
        <v>52</v>
      </c>
      <c r="C81" s="139" t="s">
        <v>91</v>
      </c>
      <c r="D81" s="146" t="s">
        <v>72</v>
      </c>
      <c r="E81" s="11">
        <v>70204974</v>
      </c>
      <c r="F81" s="12" t="s">
        <v>139</v>
      </c>
      <c r="G81" s="14" t="s">
        <v>92</v>
      </c>
      <c r="H81" s="65" t="s">
        <v>188</v>
      </c>
      <c r="I81" s="34">
        <v>27800</v>
      </c>
      <c r="J81" s="35">
        <f>IFERROR(VLOOKUP(E81,'[1]8월 출고'!$B:$E,4,0),0)</f>
        <v>18693</v>
      </c>
      <c r="K81" s="31">
        <v>13800</v>
      </c>
      <c r="L81" s="32">
        <v>888</v>
      </c>
      <c r="M81" s="33">
        <v>1</v>
      </c>
      <c r="N81" s="69" t="s">
        <v>205</v>
      </c>
      <c r="O81" s="33">
        <v>50</v>
      </c>
      <c r="P81" s="84">
        <v>50</v>
      </c>
    </row>
    <row r="82" spans="2:17" ht="16.5" customHeight="1" x14ac:dyDescent="0.25">
      <c r="B82" s="135"/>
      <c r="C82" s="139"/>
      <c r="D82" s="147"/>
      <c r="E82" s="12">
        <v>70204975</v>
      </c>
      <c r="F82" s="12" t="s">
        <v>139</v>
      </c>
      <c r="G82" s="8" t="s">
        <v>129</v>
      </c>
      <c r="H82" s="65" t="s">
        <v>188</v>
      </c>
      <c r="I82" s="34"/>
      <c r="J82" s="35">
        <f>IFERROR(VLOOKUP(E82,'[1]8월 출고'!$B:$E,4,0),0)</f>
        <v>18693</v>
      </c>
      <c r="K82" s="31">
        <v>13800</v>
      </c>
      <c r="L82" s="32">
        <v>888</v>
      </c>
      <c r="M82" s="33">
        <v>6</v>
      </c>
      <c r="N82" s="69" t="s">
        <v>205</v>
      </c>
      <c r="O82" s="33">
        <v>50</v>
      </c>
      <c r="P82" s="84">
        <v>50</v>
      </c>
    </row>
    <row r="83" spans="2:17" x14ac:dyDescent="0.25">
      <c r="B83" s="136"/>
      <c r="C83" s="140"/>
      <c r="D83" s="147"/>
      <c r="E83" s="13">
        <v>69292186</v>
      </c>
      <c r="F83" s="12" t="s">
        <v>139</v>
      </c>
      <c r="G83" s="8" t="s">
        <v>130</v>
      </c>
      <c r="H83" s="65" t="s">
        <v>189</v>
      </c>
      <c r="I83" s="34">
        <v>10900</v>
      </c>
      <c r="J83" s="35">
        <f>IFERROR(VLOOKUP(E83,'[1]8월 출고'!$B:$E,4,0),0)</f>
        <v>5963</v>
      </c>
      <c r="K83" s="31">
        <v>5800</v>
      </c>
      <c r="L83" s="32">
        <v>888</v>
      </c>
      <c r="M83" s="33">
        <v>5</v>
      </c>
      <c r="N83" s="69" t="s">
        <v>205</v>
      </c>
      <c r="O83" s="33">
        <v>30</v>
      </c>
      <c r="P83" s="84">
        <v>30</v>
      </c>
    </row>
    <row r="84" spans="2:17" x14ac:dyDescent="0.25">
      <c r="B84" s="136"/>
      <c r="C84" s="140"/>
      <c r="D84" s="147"/>
      <c r="E84" s="13">
        <v>69292185</v>
      </c>
      <c r="F84" s="12" t="s">
        <v>139</v>
      </c>
      <c r="G84" s="8" t="s">
        <v>131</v>
      </c>
      <c r="H84" s="65" t="s">
        <v>189</v>
      </c>
      <c r="I84" s="34"/>
      <c r="J84" s="35">
        <f>IFERROR(VLOOKUP(E84,'[1]8월 출고'!$B:$E,4,0),0)</f>
        <v>5963</v>
      </c>
      <c r="K84" s="31">
        <v>5800</v>
      </c>
      <c r="L84" s="32">
        <v>888</v>
      </c>
      <c r="M84" s="33">
        <v>4</v>
      </c>
      <c r="N84" s="69" t="s">
        <v>205</v>
      </c>
      <c r="O84" s="33">
        <v>30</v>
      </c>
      <c r="P84" s="84">
        <v>30</v>
      </c>
    </row>
    <row r="85" spans="2:17" x14ac:dyDescent="0.25">
      <c r="B85" s="136"/>
      <c r="C85" s="140"/>
      <c r="D85" s="147"/>
      <c r="E85" s="13">
        <v>69292187</v>
      </c>
      <c r="F85" s="12" t="s">
        <v>139</v>
      </c>
      <c r="G85" s="8" t="s">
        <v>132</v>
      </c>
      <c r="H85" s="65" t="s">
        <v>189</v>
      </c>
      <c r="I85" s="34"/>
      <c r="J85" s="35">
        <f>IFERROR(VLOOKUP(E85,'[1]8월 출고'!$B:$E,4,0),0)</f>
        <v>5963</v>
      </c>
      <c r="K85" s="31">
        <v>5800</v>
      </c>
      <c r="L85" s="32">
        <v>888</v>
      </c>
      <c r="M85" s="33">
        <v>7</v>
      </c>
      <c r="N85" s="69" t="s">
        <v>205</v>
      </c>
      <c r="O85" s="33">
        <v>30</v>
      </c>
      <c r="P85" s="84">
        <v>30</v>
      </c>
    </row>
    <row r="86" spans="2:17" x14ac:dyDescent="0.25">
      <c r="B86" s="136"/>
      <c r="C86" s="140"/>
      <c r="D86" s="147"/>
      <c r="E86" s="13">
        <v>68466892</v>
      </c>
      <c r="F86" s="12" t="s">
        <v>139</v>
      </c>
      <c r="G86" s="51" t="s">
        <v>93</v>
      </c>
      <c r="H86" s="65" t="s">
        <v>190</v>
      </c>
      <c r="I86" s="34">
        <v>25800</v>
      </c>
      <c r="J86" s="35">
        <f>IFERROR(VLOOKUP(E86,'[1]8월 출고'!$B:$E,4,0),0)</f>
        <v>15276</v>
      </c>
      <c r="K86" s="31">
        <v>12800</v>
      </c>
      <c r="L86" s="32">
        <v>888</v>
      </c>
      <c r="M86" s="33">
        <v>244</v>
      </c>
      <c r="N86" s="69" t="s">
        <v>205</v>
      </c>
      <c r="O86" s="33">
        <v>200</v>
      </c>
      <c r="P86" s="84" t="s">
        <v>207</v>
      </c>
    </row>
    <row r="87" spans="2:17" x14ac:dyDescent="0.25">
      <c r="B87" s="136"/>
      <c r="C87" s="140"/>
      <c r="D87" s="147"/>
      <c r="E87" s="13">
        <v>69040158</v>
      </c>
      <c r="F87" s="12" t="s">
        <v>139</v>
      </c>
      <c r="G87" s="51" t="s">
        <v>133</v>
      </c>
      <c r="H87" s="65" t="s">
        <v>190</v>
      </c>
      <c r="I87" s="34"/>
      <c r="J87" s="35">
        <f>IFERROR(VLOOKUP(E87,'[1]8월 출고'!$B:$E,4,0),0)</f>
        <v>15276</v>
      </c>
      <c r="K87" s="31">
        <v>12800</v>
      </c>
      <c r="L87" s="32">
        <v>888</v>
      </c>
      <c r="M87" s="33">
        <v>43</v>
      </c>
      <c r="N87" s="69" t="s">
        <v>205</v>
      </c>
      <c r="O87" s="33">
        <v>80</v>
      </c>
      <c r="P87" s="84">
        <v>50</v>
      </c>
    </row>
    <row r="88" spans="2:17" x14ac:dyDescent="0.25">
      <c r="B88" s="136"/>
      <c r="C88" s="140"/>
      <c r="D88" s="147"/>
      <c r="E88" s="13">
        <v>70530577</v>
      </c>
      <c r="F88" s="12" t="s">
        <v>139</v>
      </c>
      <c r="G88" s="8" t="s">
        <v>94</v>
      </c>
      <c r="H88" s="65" t="s">
        <v>191</v>
      </c>
      <c r="I88" s="34">
        <v>34800</v>
      </c>
      <c r="J88" s="35">
        <f>IFERROR(VLOOKUP(E88,'[1]8월 출고'!$B:$E,4,0),0)</f>
        <v>23283</v>
      </c>
      <c r="K88" s="31">
        <v>14800</v>
      </c>
      <c r="L88" s="32">
        <v>888</v>
      </c>
      <c r="M88" s="33">
        <v>11</v>
      </c>
      <c r="N88" s="69" t="s">
        <v>205</v>
      </c>
      <c r="O88" s="33">
        <v>30</v>
      </c>
      <c r="P88" s="84">
        <v>30</v>
      </c>
    </row>
    <row r="89" spans="2:17" x14ac:dyDescent="0.25">
      <c r="B89" s="136"/>
      <c r="C89" s="140"/>
      <c r="D89" s="147"/>
      <c r="E89" s="13">
        <v>70530576</v>
      </c>
      <c r="F89" s="12" t="s">
        <v>139</v>
      </c>
      <c r="G89" s="8" t="s">
        <v>134</v>
      </c>
      <c r="H89" s="65" t="s">
        <v>191</v>
      </c>
      <c r="I89" s="34"/>
      <c r="J89" s="35">
        <f>IFERROR(VLOOKUP(E89,'[1]8월 출고'!$B:$E,4,0),0)</f>
        <v>23283</v>
      </c>
      <c r="K89" s="31">
        <v>14800</v>
      </c>
      <c r="L89" s="32">
        <v>888</v>
      </c>
      <c r="M89" s="33">
        <v>9</v>
      </c>
      <c r="N89" s="69" t="s">
        <v>205</v>
      </c>
      <c r="O89" s="33">
        <v>30</v>
      </c>
      <c r="P89" s="84">
        <v>30</v>
      </c>
    </row>
    <row r="90" spans="2:17" x14ac:dyDescent="0.25">
      <c r="B90" s="136"/>
      <c r="C90" s="140"/>
      <c r="D90" s="147"/>
      <c r="E90" s="13">
        <v>57592449</v>
      </c>
      <c r="F90" s="12" t="s">
        <v>139</v>
      </c>
      <c r="G90" s="51" t="s">
        <v>95</v>
      </c>
      <c r="H90" s="65" t="s">
        <v>192</v>
      </c>
      <c r="I90" s="34">
        <v>34800</v>
      </c>
      <c r="J90" s="35">
        <f>IFERROR(VLOOKUP(E90,'[1]8월 출고'!$B:$E,4,0),0)</f>
        <v>24388</v>
      </c>
      <c r="K90" s="31">
        <v>18800</v>
      </c>
      <c r="L90" s="32">
        <v>888</v>
      </c>
      <c r="M90" s="33">
        <v>11</v>
      </c>
      <c r="N90" s="69" t="s">
        <v>205</v>
      </c>
      <c r="O90" s="33">
        <v>30</v>
      </c>
      <c r="P90" s="84">
        <v>30</v>
      </c>
    </row>
    <row r="91" spans="2:17" x14ac:dyDescent="0.25">
      <c r="B91" s="136"/>
      <c r="C91" s="140"/>
      <c r="D91" s="139"/>
      <c r="E91" s="13">
        <v>73523448</v>
      </c>
      <c r="F91" s="12" t="s">
        <v>139</v>
      </c>
      <c r="G91" s="51" t="s">
        <v>96</v>
      </c>
      <c r="H91" s="65" t="s">
        <v>193</v>
      </c>
      <c r="I91" s="34">
        <v>54800</v>
      </c>
      <c r="J91" s="35">
        <f>IFERROR(VLOOKUP(E91,'[1]8월 출고'!$B:$E,4,0),0)</f>
        <v>32093</v>
      </c>
      <c r="K91" s="31">
        <v>24800</v>
      </c>
      <c r="L91" s="32">
        <v>888</v>
      </c>
      <c r="M91" s="33">
        <v>44</v>
      </c>
      <c r="N91" s="69" t="s">
        <v>205</v>
      </c>
      <c r="O91" s="33">
        <v>30</v>
      </c>
      <c r="P91" s="84">
        <v>30</v>
      </c>
    </row>
    <row r="92" spans="2:17" ht="16.5" customHeight="1" x14ac:dyDescent="0.25">
      <c r="B92" s="136"/>
      <c r="C92" s="140"/>
      <c r="D92" s="170" t="s">
        <v>60</v>
      </c>
      <c r="E92" s="13">
        <v>12038103</v>
      </c>
      <c r="F92" s="12" t="s">
        <v>139</v>
      </c>
      <c r="G92" s="51" t="s">
        <v>37</v>
      </c>
      <c r="H92" s="65" t="s">
        <v>194</v>
      </c>
      <c r="I92" s="36">
        <v>169000</v>
      </c>
      <c r="J92" s="35">
        <f>IFERROR(VLOOKUP(E92,'[1]8월 출고'!$B:$E,4,0),0)</f>
        <v>105860</v>
      </c>
      <c r="K92" s="31">
        <v>88800</v>
      </c>
      <c r="L92" s="32">
        <v>188</v>
      </c>
      <c r="M92" s="33">
        <v>31</v>
      </c>
      <c r="N92" s="69">
        <v>32</v>
      </c>
      <c r="O92" s="33">
        <v>20</v>
      </c>
      <c r="P92" s="84" t="s">
        <v>207</v>
      </c>
      <c r="Q92" s="9"/>
    </row>
    <row r="93" spans="2:17" ht="16.5" customHeight="1" x14ac:dyDescent="0.25">
      <c r="B93" s="136"/>
      <c r="C93" s="140"/>
      <c r="D93" s="147"/>
      <c r="E93" s="13">
        <v>11765770</v>
      </c>
      <c r="F93" s="12" t="s">
        <v>139</v>
      </c>
      <c r="G93" s="60" t="s">
        <v>30</v>
      </c>
      <c r="H93" s="65" t="s">
        <v>195</v>
      </c>
      <c r="I93" s="36">
        <v>249000</v>
      </c>
      <c r="J93" s="35">
        <f>IFERROR(VLOOKUP(E93,'[1]8월 출고'!$B:$E,4,0),0)</f>
        <v>159460</v>
      </c>
      <c r="K93" s="31">
        <v>148800</v>
      </c>
      <c r="L93" s="32">
        <v>188</v>
      </c>
      <c r="M93" s="33">
        <v>26</v>
      </c>
      <c r="N93" s="69">
        <v>68</v>
      </c>
      <c r="O93" s="33">
        <v>20</v>
      </c>
      <c r="P93" s="84" t="s">
        <v>207</v>
      </c>
    </row>
    <row r="94" spans="2:17" ht="17.25" customHeight="1" thickBot="1" x14ac:dyDescent="0.3">
      <c r="B94" s="137"/>
      <c r="C94" s="141"/>
      <c r="D94" s="171"/>
      <c r="E94" s="21">
        <v>12095120</v>
      </c>
      <c r="F94" s="12" t="s">
        <v>139</v>
      </c>
      <c r="G94" s="61" t="s">
        <v>38</v>
      </c>
      <c r="H94" s="65" t="s">
        <v>196</v>
      </c>
      <c r="I94" s="34">
        <v>279000</v>
      </c>
      <c r="J94" s="35">
        <f>IFERROR(VLOOKUP(E94,'[1]8월 출고'!$B:$E,4,0),0)</f>
        <v>172860</v>
      </c>
      <c r="K94" s="31">
        <v>158800</v>
      </c>
      <c r="L94" s="32">
        <v>188</v>
      </c>
      <c r="M94" s="33">
        <v>3</v>
      </c>
      <c r="N94" s="69" t="s">
        <v>207</v>
      </c>
      <c r="O94" s="33">
        <v>20</v>
      </c>
      <c r="P94" s="84">
        <v>10</v>
      </c>
    </row>
    <row r="95" spans="2:17" ht="16.5" customHeight="1" thickTop="1" x14ac:dyDescent="0.25">
      <c r="B95" s="134" t="s">
        <v>53</v>
      </c>
      <c r="C95" s="138" t="s">
        <v>67</v>
      </c>
      <c r="D95" s="146" t="s">
        <v>72</v>
      </c>
      <c r="E95" s="18">
        <v>64223250</v>
      </c>
      <c r="F95" s="12" t="s">
        <v>139</v>
      </c>
      <c r="G95" s="8" t="s">
        <v>135</v>
      </c>
      <c r="H95" s="65" t="s">
        <v>197</v>
      </c>
      <c r="I95" s="36">
        <v>78000</v>
      </c>
      <c r="J95" s="35">
        <f>IFERROR(VLOOKUP(E95,'[1]8월 출고'!$B:$E,4,0),0)</f>
        <v>52930</v>
      </c>
      <c r="K95" s="31">
        <v>38800</v>
      </c>
      <c r="L95" s="32">
        <v>888</v>
      </c>
      <c r="M95" s="33">
        <v>18</v>
      </c>
      <c r="N95" s="69" t="s">
        <v>205</v>
      </c>
      <c r="O95" s="33">
        <v>20</v>
      </c>
      <c r="P95" s="84">
        <v>20</v>
      </c>
    </row>
    <row r="96" spans="2:17" ht="16.5" customHeight="1" x14ac:dyDescent="0.25">
      <c r="B96" s="136"/>
      <c r="C96" s="140"/>
      <c r="D96" s="147"/>
      <c r="E96" s="19">
        <v>57422656</v>
      </c>
      <c r="F96" s="12" t="s">
        <v>139</v>
      </c>
      <c r="G96" s="62" t="s">
        <v>97</v>
      </c>
      <c r="H96" s="65" t="s">
        <v>198</v>
      </c>
      <c r="I96" s="36">
        <v>47800</v>
      </c>
      <c r="J96" s="35">
        <f>IFERROR(VLOOKUP(E96,'[1]8월 출고'!$B:$E,4,0),0)</f>
        <v>32093</v>
      </c>
      <c r="K96" s="31">
        <v>18800</v>
      </c>
      <c r="L96" s="32">
        <v>888</v>
      </c>
      <c r="M96" s="33">
        <v>10</v>
      </c>
      <c r="N96" s="69">
        <v>308</v>
      </c>
      <c r="O96" s="33">
        <v>100</v>
      </c>
      <c r="P96" s="84">
        <v>150</v>
      </c>
    </row>
    <row r="97" spans="2:17" x14ac:dyDescent="0.25">
      <c r="B97" s="136"/>
      <c r="C97" s="140"/>
      <c r="D97" s="147"/>
      <c r="E97" s="20">
        <v>10121189</v>
      </c>
      <c r="F97" s="12" t="s">
        <v>139</v>
      </c>
      <c r="G97" s="62" t="s">
        <v>23</v>
      </c>
      <c r="H97" s="65" t="s">
        <v>199</v>
      </c>
      <c r="I97" s="36">
        <v>98000</v>
      </c>
      <c r="J97" s="35">
        <f>IFERROR(VLOOKUP(E97,'[1]8월 출고'!$B:$E,4,0),0)</f>
        <v>64990</v>
      </c>
      <c r="K97" s="31">
        <v>48800</v>
      </c>
      <c r="L97" s="32">
        <v>888</v>
      </c>
      <c r="M97" s="33">
        <v>11</v>
      </c>
      <c r="N97" s="69">
        <v>78</v>
      </c>
      <c r="O97" s="33">
        <v>30</v>
      </c>
      <c r="P97" s="84">
        <v>30</v>
      </c>
      <c r="Q97" s="9"/>
    </row>
    <row r="98" spans="2:17" x14ac:dyDescent="0.25">
      <c r="B98" s="136"/>
      <c r="C98" s="140"/>
      <c r="D98" s="147"/>
      <c r="E98" s="20">
        <v>61766007</v>
      </c>
      <c r="F98" s="12" t="s">
        <v>139</v>
      </c>
      <c r="G98" s="62" t="s">
        <v>98</v>
      </c>
      <c r="H98" s="65" t="s">
        <v>200</v>
      </c>
      <c r="I98" s="36">
        <v>88000</v>
      </c>
      <c r="J98" s="35">
        <f>IFERROR(VLOOKUP(E98,'[1]8월 출고'!$B:$E,4,0),0)</f>
        <v>59630</v>
      </c>
      <c r="K98" s="31">
        <v>48800</v>
      </c>
      <c r="L98" s="32">
        <v>888</v>
      </c>
      <c r="M98" s="33">
        <v>7</v>
      </c>
      <c r="N98" s="69">
        <v>98</v>
      </c>
      <c r="O98" s="33">
        <v>30</v>
      </c>
      <c r="P98" s="84">
        <v>30</v>
      </c>
      <c r="Q98" s="9"/>
    </row>
    <row r="99" spans="2:17" x14ac:dyDescent="0.25">
      <c r="B99" s="136"/>
      <c r="C99" s="140"/>
      <c r="D99" s="147"/>
      <c r="E99" s="20">
        <v>47861038</v>
      </c>
      <c r="F99" s="12" t="s">
        <v>139</v>
      </c>
      <c r="G99" s="62" t="s">
        <v>25</v>
      </c>
      <c r="H99" s="65" t="s">
        <v>201</v>
      </c>
      <c r="I99" s="36">
        <v>47800</v>
      </c>
      <c r="J99" s="35">
        <f>IFERROR(VLOOKUP(E99,'[1]8월 출고'!$B:$E,4,0),0)</f>
        <v>25326</v>
      </c>
      <c r="K99" s="31">
        <v>24800</v>
      </c>
      <c r="L99" s="32">
        <v>888</v>
      </c>
      <c r="M99" s="33">
        <v>63</v>
      </c>
      <c r="N99" s="69">
        <v>413</v>
      </c>
      <c r="O99" s="33">
        <v>100</v>
      </c>
      <c r="P99" s="84">
        <v>150</v>
      </c>
      <c r="Q99" s="9"/>
    </row>
    <row r="100" spans="2:17" x14ac:dyDescent="0.25">
      <c r="B100" s="136"/>
      <c r="C100" s="140"/>
      <c r="D100" s="139"/>
      <c r="E100" s="20">
        <v>69770093</v>
      </c>
      <c r="F100" s="12" t="s">
        <v>139</v>
      </c>
      <c r="G100" s="14" t="s">
        <v>136</v>
      </c>
      <c r="H100" s="65" t="s">
        <v>202</v>
      </c>
      <c r="I100" s="36">
        <v>69900</v>
      </c>
      <c r="J100" s="35">
        <f>IFERROR(VLOOKUP(E100,'[1]8월 출고'!$B:$E,4,0),0)</f>
        <v>40066</v>
      </c>
      <c r="K100" s="31">
        <v>38800</v>
      </c>
      <c r="L100" s="32">
        <v>888</v>
      </c>
      <c r="M100" s="33">
        <v>33</v>
      </c>
      <c r="N100" s="69">
        <v>20</v>
      </c>
      <c r="O100" s="33">
        <v>50</v>
      </c>
      <c r="P100" s="84">
        <v>20</v>
      </c>
      <c r="Q100" s="9"/>
    </row>
    <row r="101" spans="2:17" x14ac:dyDescent="0.25">
      <c r="B101" s="136"/>
      <c r="C101" s="140"/>
      <c r="D101" s="170" t="s">
        <v>41</v>
      </c>
      <c r="E101" s="20">
        <v>53967042</v>
      </c>
      <c r="F101" s="12" t="s">
        <v>139</v>
      </c>
      <c r="G101" s="62" t="s">
        <v>35</v>
      </c>
      <c r="H101" s="65" t="s">
        <v>225</v>
      </c>
      <c r="I101" s="36">
        <v>99000</v>
      </c>
      <c r="J101" s="35">
        <f>IFERROR(VLOOKUP(E101,'[1]8월 출고'!$B:$E,4,0),0)</f>
        <v>52930</v>
      </c>
      <c r="K101" s="31">
        <v>38800</v>
      </c>
      <c r="L101" s="32">
        <v>888</v>
      </c>
      <c r="M101" s="33">
        <v>15</v>
      </c>
      <c r="N101" s="69">
        <v>96</v>
      </c>
      <c r="O101" s="33">
        <v>50</v>
      </c>
      <c r="P101" s="84">
        <v>50</v>
      </c>
    </row>
    <row r="102" spans="2:17" x14ac:dyDescent="0.25">
      <c r="B102" s="136"/>
      <c r="C102" s="140"/>
      <c r="D102" s="147"/>
      <c r="E102" s="20">
        <v>40501253</v>
      </c>
      <c r="F102" s="13" t="s">
        <v>139</v>
      </c>
      <c r="G102" s="25" t="s">
        <v>21</v>
      </c>
      <c r="H102" s="65" t="s">
        <v>226</v>
      </c>
      <c r="I102" s="34">
        <v>139000</v>
      </c>
      <c r="J102" s="35">
        <f>IFERROR(VLOOKUP(E102,'[1]8월 출고'!$B:$E,4,0),0)</f>
        <v>73030</v>
      </c>
      <c r="K102" s="31">
        <v>68800</v>
      </c>
      <c r="L102" s="32">
        <v>888</v>
      </c>
      <c r="M102" s="33">
        <v>10</v>
      </c>
      <c r="N102" s="69" t="s">
        <v>207</v>
      </c>
      <c r="O102" s="33">
        <v>30</v>
      </c>
      <c r="P102" s="84">
        <v>40</v>
      </c>
    </row>
    <row r="103" spans="2:17" ht="14.25" thickBot="1" x14ac:dyDescent="0.3">
      <c r="B103" s="137"/>
      <c r="C103" s="141"/>
      <c r="D103" s="171"/>
      <c r="E103" s="110">
        <v>72683872</v>
      </c>
      <c r="F103" s="21" t="s">
        <v>139</v>
      </c>
      <c r="G103" s="111" t="s">
        <v>137</v>
      </c>
      <c r="H103" s="80" t="s">
        <v>227</v>
      </c>
      <c r="I103" s="37">
        <v>148000</v>
      </c>
      <c r="J103" s="38">
        <f>IFERROR(VLOOKUP(E103,'[1]8월 출고'!$B:$E,4,0),0)</f>
        <v>99160</v>
      </c>
      <c r="K103" s="39">
        <v>88800</v>
      </c>
      <c r="L103" s="40">
        <v>888</v>
      </c>
      <c r="M103" s="41">
        <v>4</v>
      </c>
      <c r="N103" s="74" t="s">
        <v>207</v>
      </c>
      <c r="O103" s="41">
        <v>30</v>
      </c>
      <c r="P103" s="85">
        <v>40</v>
      </c>
    </row>
    <row r="104" spans="2:17" ht="16.5" customHeight="1" thickTop="1" x14ac:dyDescent="0.3"/>
    <row r="107" spans="2:17" ht="14.25" thickBot="1" x14ac:dyDescent="0.35"/>
    <row r="108" spans="2:17" ht="14.25" thickBot="1" x14ac:dyDescent="0.35">
      <c r="E108" s="87" t="s">
        <v>212</v>
      </c>
      <c r="F108" s="87" t="s">
        <v>213</v>
      </c>
      <c r="G108" s="88" t="s">
        <v>27</v>
      </c>
      <c r="H108" s="1" t="s">
        <v>7</v>
      </c>
      <c r="I108" s="89" t="s">
        <v>11</v>
      </c>
      <c r="J108" s="90" t="s">
        <v>10</v>
      </c>
      <c r="K108" s="172" t="s">
        <v>214</v>
      </c>
      <c r="L108" s="173"/>
      <c r="M108" s="173"/>
      <c r="N108" s="173"/>
      <c r="O108" s="173"/>
      <c r="P108" s="174"/>
    </row>
    <row r="109" spans="2:17" x14ac:dyDescent="0.2">
      <c r="E109" s="91">
        <v>58716097</v>
      </c>
      <c r="F109" s="92">
        <v>92283949984</v>
      </c>
      <c r="G109" s="93" t="s">
        <v>40</v>
      </c>
      <c r="H109" s="94">
        <v>29900</v>
      </c>
      <c r="I109" s="95">
        <v>24800</v>
      </c>
      <c r="J109" s="96">
        <v>2436</v>
      </c>
      <c r="K109" s="115" t="s">
        <v>215</v>
      </c>
      <c r="L109" s="116"/>
      <c r="M109" s="116"/>
      <c r="N109" s="116"/>
      <c r="O109" s="116"/>
      <c r="P109" s="117"/>
    </row>
    <row r="110" spans="2:17" x14ac:dyDescent="0.2">
      <c r="E110" s="97">
        <v>71173111</v>
      </c>
      <c r="F110" s="98">
        <v>95085504319</v>
      </c>
      <c r="G110" s="99" t="s">
        <v>44</v>
      </c>
      <c r="H110" s="94">
        <v>44800</v>
      </c>
      <c r="I110" s="95">
        <v>29800</v>
      </c>
      <c r="J110" s="100">
        <v>1130</v>
      </c>
      <c r="K110" s="115" t="s">
        <v>216</v>
      </c>
      <c r="L110" s="116"/>
      <c r="M110" s="116"/>
      <c r="N110" s="116"/>
      <c r="O110" s="116"/>
      <c r="P110" s="117"/>
    </row>
    <row r="111" spans="2:17" x14ac:dyDescent="0.2">
      <c r="E111" s="97">
        <v>45573288</v>
      </c>
      <c r="F111" s="98">
        <v>89716920663</v>
      </c>
      <c r="G111" s="101" t="s">
        <v>32</v>
      </c>
      <c r="H111" s="94">
        <v>44800</v>
      </c>
      <c r="I111" s="95">
        <v>29800</v>
      </c>
      <c r="J111" s="100">
        <v>140</v>
      </c>
      <c r="K111" s="115" t="s">
        <v>217</v>
      </c>
      <c r="L111" s="116"/>
      <c r="M111" s="116"/>
      <c r="N111" s="116"/>
      <c r="O111" s="116"/>
      <c r="P111" s="117"/>
    </row>
    <row r="112" spans="2:17" x14ac:dyDescent="0.2">
      <c r="E112" s="97">
        <v>72182444</v>
      </c>
      <c r="F112" s="98">
        <v>95239207544</v>
      </c>
      <c r="G112" s="102" t="s">
        <v>45</v>
      </c>
      <c r="H112" s="94">
        <v>97000</v>
      </c>
      <c r="I112" s="95">
        <v>58000</v>
      </c>
      <c r="J112" s="100">
        <v>131</v>
      </c>
      <c r="K112" s="115" t="s">
        <v>218</v>
      </c>
      <c r="L112" s="116"/>
      <c r="M112" s="116"/>
      <c r="N112" s="116"/>
      <c r="O112" s="116"/>
      <c r="P112" s="117"/>
    </row>
    <row r="113" spans="5:16" x14ac:dyDescent="0.2">
      <c r="E113" s="97">
        <v>69772629</v>
      </c>
      <c r="F113" s="98">
        <v>94766835572</v>
      </c>
      <c r="G113" s="99" t="s">
        <v>43</v>
      </c>
      <c r="H113" s="94">
        <v>43800</v>
      </c>
      <c r="I113" s="95">
        <v>29800</v>
      </c>
      <c r="J113" s="100">
        <v>330</v>
      </c>
      <c r="K113" s="115" t="s">
        <v>159</v>
      </c>
      <c r="L113" s="116"/>
      <c r="M113" s="116"/>
      <c r="N113" s="116"/>
      <c r="O113" s="116"/>
      <c r="P113" s="117"/>
    </row>
    <row r="114" spans="5:16" x14ac:dyDescent="0.2">
      <c r="E114" s="97">
        <v>72910683</v>
      </c>
      <c r="F114" s="98">
        <v>95330015353</v>
      </c>
      <c r="G114" s="103" t="s">
        <v>47</v>
      </c>
      <c r="H114" s="94">
        <v>44800</v>
      </c>
      <c r="I114" s="95">
        <v>29800</v>
      </c>
      <c r="J114" s="100">
        <v>27</v>
      </c>
      <c r="K114" s="115" t="s">
        <v>157</v>
      </c>
      <c r="L114" s="116"/>
      <c r="M114" s="116"/>
      <c r="N114" s="116"/>
      <c r="O114" s="116"/>
      <c r="P114" s="117"/>
    </row>
    <row r="115" spans="5:16" x14ac:dyDescent="0.2">
      <c r="E115" s="97">
        <v>68253037</v>
      </c>
      <c r="F115" s="98">
        <v>94373290881</v>
      </c>
      <c r="G115" s="93" t="s">
        <v>219</v>
      </c>
      <c r="H115" s="94">
        <v>54800</v>
      </c>
      <c r="I115" s="95">
        <v>29800</v>
      </c>
      <c r="J115" s="100">
        <v>138</v>
      </c>
      <c r="K115" s="115" t="s">
        <v>220</v>
      </c>
      <c r="L115" s="116"/>
      <c r="M115" s="116"/>
      <c r="N115" s="116"/>
      <c r="O115" s="116"/>
      <c r="P115" s="117"/>
    </row>
    <row r="116" spans="5:16" ht="14.25" thickBot="1" x14ac:dyDescent="0.25">
      <c r="E116" s="104">
        <v>52162444</v>
      </c>
      <c r="F116" s="105">
        <v>91329099785</v>
      </c>
      <c r="G116" s="106" t="s">
        <v>46</v>
      </c>
      <c r="H116" s="107">
        <v>78000</v>
      </c>
      <c r="I116" s="108">
        <v>48000</v>
      </c>
      <c r="J116" s="109">
        <v>276</v>
      </c>
      <c r="K116" s="112" t="s">
        <v>176</v>
      </c>
      <c r="L116" s="113"/>
      <c r="M116" s="113"/>
      <c r="N116" s="113"/>
      <c r="O116" s="113"/>
      <c r="P116" s="114"/>
    </row>
    <row r="1048407" spans="9:9" x14ac:dyDescent="0.3">
      <c r="I1048407" s="23"/>
    </row>
  </sheetData>
  <mergeCells count="42">
    <mergeCell ref="K108:P108"/>
    <mergeCell ref="K109:P109"/>
    <mergeCell ref="K110:P110"/>
    <mergeCell ref="D39:D41"/>
    <mergeCell ref="D27:D29"/>
    <mergeCell ref="D51:D53"/>
    <mergeCell ref="D63:D66"/>
    <mergeCell ref="D78:D80"/>
    <mergeCell ref="D30:D38"/>
    <mergeCell ref="D42:D50"/>
    <mergeCell ref="D54:D62"/>
    <mergeCell ref="D67:D77"/>
    <mergeCell ref="B81:B94"/>
    <mergeCell ref="C81:C94"/>
    <mergeCell ref="B95:B103"/>
    <mergeCell ref="C95:C103"/>
    <mergeCell ref="D92:D94"/>
    <mergeCell ref="D101:D103"/>
    <mergeCell ref="D81:D91"/>
    <mergeCell ref="D95:D100"/>
    <mergeCell ref="B42:B53"/>
    <mergeCell ref="C42:C53"/>
    <mergeCell ref="B30:B41"/>
    <mergeCell ref="C30:C41"/>
    <mergeCell ref="B67:B80"/>
    <mergeCell ref="B54:B66"/>
    <mergeCell ref="C67:C80"/>
    <mergeCell ref="C54:C66"/>
    <mergeCell ref="B1:P2"/>
    <mergeCell ref="B5:B16"/>
    <mergeCell ref="C5:C16"/>
    <mergeCell ref="B17:B29"/>
    <mergeCell ref="C17:C29"/>
    <mergeCell ref="D5:D13"/>
    <mergeCell ref="D14:D16"/>
    <mergeCell ref="D17:D26"/>
    <mergeCell ref="K116:P116"/>
    <mergeCell ref="K111:P111"/>
    <mergeCell ref="K112:P112"/>
    <mergeCell ref="K113:P113"/>
    <mergeCell ref="K114:P114"/>
    <mergeCell ref="K115:P115"/>
  </mergeCells>
  <phoneticPr fontId="2" type="noConversion"/>
  <conditionalFormatting sqref="G24:G25">
    <cfRule type="duplicateValues" dxfId="47" priority="474"/>
  </conditionalFormatting>
  <conditionalFormatting sqref="G40">
    <cfRule type="duplicateValues" dxfId="46" priority="409"/>
  </conditionalFormatting>
  <conditionalFormatting sqref="G24:G25">
    <cfRule type="duplicateValues" dxfId="45" priority="447"/>
  </conditionalFormatting>
  <conditionalFormatting sqref="G40">
    <cfRule type="duplicateValues" dxfId="44" priority="410"/>
  </conditionalFormatting>
  <conditionalFormatting sqref="G42:G46">
    <cfRule type="duplicateValues" dxfId="43" priority="395"/>
  </conditionalFormatting>
  <conditionalFormatting sqref="G59:G61">
    <cfRule type="duplicateValues" dxfId="42" priority="340"/>
  </conditionalFormatting>
  <conditionalFormatting sqref="G96">
    <cfRule type="duplicateValues" dxfId="41" priority="300"/>
  </conditionalFormatting>
  <conditionalFormatting sqref="G47">
    <cfRule type="duplicateValues" dxfId="40" priority="298"/>
  </conditionalFormatting>
  <conditionalFormatting sqref="G51">
    <cfRule type="duplicateValues" dxfId="39" priority="289"/>
  </conditionalFormatting>
  <conditionalFormatting sqref="G52">
    <cfRule type="duplicateValues" dxfId="38" priority="284"/>
  </conditionalFormatting>
  <conditionalFormatting sqref="G91">
    <cfRule type="duplicateValues" dxfId="37" priority="266"/>
  </conditionalFormatting>
  <conditionalFormatting sqref="G94">
    <cfRule type="duplicateValues" dxfId="36" priority="255"/>
  </conditionalFormatting>
  <conditionalFormatting sqref="G86:G87 G90">
    <cfRule type="duplicateValues" dxfId="35" priority="242"/>
  </conditionalFormatting>
  <conditionalFormatting sqref="G41">
    <cfRule type="duplicateValues" dxfId="34" priority="235"/>
  </conditionalFormatting>
  <conditionalFormatting sqref="G41">
    <cfRule type="duplicateValues" dxfId="33" priority="236"/>
  </conditionalFormatting>
  <conditionalFormatting sqref="G53">
    <cfRule type="duplicateValues" dxfId="32" priority="234"/>
  </conditionalFormatting>
  <conditionalFormatting sqref="E6">
    <cfRule type="duplicateValues" dxfId="31" priority="28"/>
  </conditionalFormatting>
  <conditionalFormatting sqref="E6">
    <cfRule type="duplicateValues" dxfId="30" priority="29"/>
  </conditionalFormatting>
  <conditionalFormatting sqref="E6">
    <cfRule type="duplicateValues" dxfId="29" priority="30"/>
  </conditionalFormatting>
  <conditionalFormatting sqref="E6">
    <cfRule type="duplicateValues" dxfId="28" priority="31"/>
  </conditionalFormatting>
  <conditionalFormatting sqref="E6">
    <cfRule type="duplicateValues" dxfId="27" priority="27"/>
  </conditionalFormatting>
  <conditionalFormatting sqref="E6">
    <cfRule type="duplicateValues" dxfId="26" priority="26"/>
    <cfRule type="duplicateValues" dxfId="25" priority="32"/>
  </conditionalFormatting>
  <conditionalFormatting sqref="E7">
    <cfRule type="duplicateValues" dxfId="24" priority="21"/>
  </conditionalFormatting>
  <conditionalFormatting sqref="E7">
    <cfRule type="duplicateValues" dxfId="23" priority="22"/>
  </conditionalFormatting>
  <conditionalFormatting sqref="E7">
    <cfRule type="duplicateValues" dxfId="22" priority="23"/>
  </conditionalFormatting>
  <conditionalFormatting sqref="E7">
    <cfRule type="duplicateValues" dxfId="21" priority="24"/>
  </conditionalFormatting>
  <conditionalFormatting sqref="E7">
    <cfRule type="duplicateValues" dxfId="20" priority="20"/>
  </conditionalFormatting>
  <conditionalFormatting sqref="E7">
    <cfRule type="duplicateValues" dxfId="19" priority="19"/>
    <cfRule type="duplicateValues" dxfId="18" priority="25"/>
  </conditionalFormatting>
  <conditionalFormatting sqref="G109">
    <cfRule type="duplicateValues" dxfId="17" priority="14"/>
    <cfRule type="duplicateValues" dxfId="16" priority="15"/>
    <cfRule type="duplicateValues" dxfId="15" priority="16"/>
  </conditionalFormatting>
  <conditionalFormatting sqref="G109:G110 G112:G116">
    <cfRule type="containsText" dxfId="14" priority="8" operator="containsText" text="리테일">
      <formula>NOT(ISERROR(SEARCH("리테일",G109)))</formula>
    </cfRule>
  </conditionalFormatting>
  <conditionalFormatting sqref="G110">
    <cfRule type="duplicateValues" dxfId="13" priority="9"/>
    <cfRule type="duplicateValues" dxfId="12" priority="10"/>
  </conditionalFormatting>
  <conditionalFormatting sqref="G112">
    <cfRule type="duplicateValues" dxfId="11" priority="7"/>
  </conditionalFormatting>
  <conditionalFormatting sqref="G113">
    <cfRule type="duplicateValues" dxfId="10" priority="6"/>
  </conditionalFormatting>
  <conditionalFormatting sqref="G114">
    <cfRule type="duplicateValues" dxfId="9" priority="5"/>
  </conditionalFormatting>
  <conditionalFormatting sqref="G115">
    <cfRule type="duplicateValues" dxfId="8" priority="11"/>
    <cfRule type="duplicateValues" dxfId="7" priority="12"/>
    <cfRule type="duplicateValues" dxfId="6" priority="13"/>
  </conditionalFormatting>
  <conditionalFormatting sqref="G116">
    <cfRule type="duplicateValues" dxfId="5" priority="18"/>
  </conditionalFormatting>
  <conditionalFormatting sqref="H108">
    <cfRule type="notContainsBlanks" dxfId="4" priority="17">
      <formula>LEN(TRIM(H108))&gt;0</formula>
    </cfRule>
  </conditionalFormatting>
  <conditionalFormatting sqref="K109:K116">
    <cfRule type="containsText" dxfId="3" priority="1" operator="containsText" text="리테일">
      <formula>NOT(ISERROR(SEARCH("리테일",K109)))</formula>
    </cfRule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26년 타임특가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Sangmu Kim</dc:creator>
  <cp:lastModifiedBy>OA</cp:lastModifiedBy>
  <dcterms:created xsi:type="dcterms:W3CDTF">2023-06-27T00:47:57Z</dcterms:created>
  <dcterms:modified xsi:type="dcterms:W3CDTF">2026-08-03T08:27:32Z</dcterms:modified>
</cp:coreProperties>
</file>