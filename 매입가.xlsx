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\Desktop\쿠팡발주양식\"/>
    </mc:Choice>
  </mc:AlternateContent>
  <xr:revisionPtr revIDLastSave="0" documentId="8_{46EB5818-0D2D-4EA1-A74F-54F9A3BFE8AF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발주양식" sheetId="1" r:id="rId1"/>
    <sheet name="sku 정보" sheetId="2" r:id="rId2"/>
  </sheets>
  <definedNames>
    <definedName name="_xlnm._FilterDatabase" localSheetId="1" hidden="1">'sku 정보'!$A$1:$N$510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5" i="1" l="1"/>
  <c r="C4" i="1" l="1"/>
  <c r="M511" i="2" l="1"/>
  <c r="M510" i="2"/>
  <c r="M509" i="2"/>
  <c r="M508" i="2"/>
  <c r="M497" i="2" l="1"/>
  <c r="M498" i="2"/>
  <c r="M499" i="2"/>
  <c r="M500" i="2"/>
  <c r="M501" i="2"/>
  <c r="M502" i="2"/>
  <c r="M503" i="2"/>
  <c r="M504" i="2"/>
  <c r="M505" i="2"/>
  <c r="M506" i="2"/>
  <c r="M507" i="2"/>
  <c r="M468" i="2" l="1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G320" i="2" l="1"/>
  <c r="H320" i="2"/>
  <c r="J320" i="2"/>
  <c r="G321" i="2"/>
  <c r="H321" i="2"/>
  <c r="J321" i="2"/>
  <c r="G322" i="2"/>
  <c r="H322" i="2"/>
  <c r="J322" i="2"/>
  <c r="G323" i="2"/>
  <c r="H323" i="2"/>
  <c r="J323" i="2"/>
  <c r="G324" i="2"/>
  <c r="H324" i="2"/>
  <c r="J324" i="2"/>
  <c r="G325" i="2"/>
  <c r="H325" i="2"/>
  <c r="J325" i="2"/>
  <c r="G326" i="2"/>
  <c r="H326" i="2"/>
  <c r="J326" i="2"/>
  <c r="G327" i="2"/>
  <c r="H327" i="2"/>
  <c r="J327" i="2"/>
  <c r="G328" i="2"/>
  <c r="H328" i="2"/>
  <c r="J328" i="2"/>
  <c r="G329" i="2"/>
  <c r="H329" i="2"/>
  <c r="J329" i="2"/>
  <c r="G330" i="2"/>
  <c r="H330" i="2"/>
  <c r="J330" i="2"/>
  <c r="G331" i="2"/>
  <c r="H331" i="2"/>
  <c r="J331" i="2"/>
  <c r="G332" i="2"/>
  <c r="H332" i="2"/>
  <c r="J332" i="2"/>
  <c r="G333" i="2"/>
  <c r="H333" i="2"/>
  <c r="J333" i="2"/>
  <c r="G334" i="2"/>
  <c r="H334" i="2"/>
  <c r="J334" i="2"/>
  <c r="G335" i="2"/>
  <c r="H335" i="2"/>
  <c r="J335" i="2"/>
  <c r="G336" i="2"/>
  <c r="H336" i="2"/>
  <c r="J336" i="2"/>
  <c r="G337" i="2"/>
  <c r="H337" i="2"/>
  <c r="J337" i="2"/>
  <c r="G338" i="2"/>
  <c r="H338" i="2"/>
  <c r="J338" i="2"/>
  <c r="G339" i="2"/>
  <c r="H339" i="2"/>
  <c r="J339" i="2"/>
  <c r="G340" i="2"/>
  <c r="H340" i="2"/>
  <c r="J340" i="2"/>
  <c r="G341" i="2"/>
  <c r="H341" i="2"/>
  <c r="J341" i="2"/>
  <c r="G342" i="2"/>
  <c r="H342" i="2"/>
  <c r="J342" i="2"/>
  <c r="G343" i="2"/>
  <c r="H343" i="2"/>
  <c r="J343" i="2"/>
  <c r="G344" i="2"/>
  <c r="H344" i="2"/>
  <c r="J344" i="2"/>
  <c r="G345" i="2"/>
  <c r="H345" i="2"/>
  <c r="J345" i="2"/>
  <c r="G346" i="2"/>
  <c r="H346" i="2"/>
  <c r="J346" i="2"/>
  <c r="G347" i="2"/>
  <c r="H347" i="2"/>
  <c r="J347" i="2"/>
  <c r="G348" i="2"/>
  <c r="H348" i="2"/>
  <c r="J348" i="2"/>
  <c r="G349" i="2"/>
  <c r="H349" i="2"/>
  <c r="J349" i="2"/>
  <c r="G350" i="2"/>
  <c r="H350" i="2"/>
  <c r="J350" i="2"/>
  <c r="G351" i="2"/>
  <c r="H351" i="2"/>
  <c r="J351" i="2"/>
  <c r="G352" i="2"/>
  <c r="H352" i="2"/>
  <c r="J352" i="2"/>
  <c r="G353" i="2"/>
  <c r="H353" i="2"/>
  <c r="J353" i="2"/>
  <c r="G354" i="2"/>
  <c r="H354" i="2"/>
  <c r="J354" i="2"/>
  <c r="G355" i="2"/>
  <c r="H355" i="2"/>
  <c r="J355" i="2"/>
  <c r="G356" i="2"/>
  <c r="H356" i="2"/>
  <c r="J356" i="2"/>
  <c r="G357" i="2"/>
  <c r="H357" i="2"/>
  <c r="J357" i="2"/>
  <c r="G358" i="2"/>
  <c r="H358" i="2"/>
  <c r="J358" i="2"/>
  <c r="G359" i="2"/>
  <c r="H359" i="2"/>
  <c r="J359" i="2"/>
  <c r="G360" i="2"/>
  <c r="H360" i="2"/>
  <c r="J360" i="2"/>
  <c r="G361" i="2"/>
  <c r="H361" i="2"/>
  <c r="J361" i="2"/>
  <c r="G362" i="2"/>
  <c r="H362" i="2"/>
  <c r="J362" i="2"/>
  <c r="G363" i="2"/>
  <c r="H363" i="2"/>
  <c r="J363" i="2"/>
  <c r="G364" i="2"/>
  <c r="H364" i="2"/>
  <c r="J364" i="2"/>
  <c r="G365" i="2"/>
  <c r="H365" i="2"/>
  <c r="J365" i="2"/>
  <c r="G366" i="2"/>
  <c r="H366" i="2"/>
  <c r="J366" i="2"/>
  <c r="G367" i="2"/>
  <c r="H367" i="2"/>
  <c r="J367" i="2"/>
  <c r="G368" i="2"/>
  <c r="H368" i="2"/>
  <c r="J368" i="2"/>
  <c r="G369" i="2"/>
  <c r="H369" i="2"/>
  <c r="J369" i="2"/>
  <c r="G370" i="2"/>
  <c r="H370" i="2"/>
  <c r="J370" i="2"/>
  <c r="G371" i="2"/>
  <c r="H371" i="2"/>
  <c r="J371" i="2"/>
  <c r="G372" i="2"/>
  <c r="H372" i="2"/>
  <c r="J372" i="2"/>
  <c r="G373" i="2"/>
  <c r="H373" i="2"/>
  <c r="J373" i="2"/>
  <c r="G374" i="2"/>
  <c r="H374" i="2"/>
  <c r="J374" i="2"/>
  <c r="G375" i="2"/>
  <c r="H375" i="2"/>
  <c r="J375" i="2"/>
  <c r="G376" i="2"/>
  <c r="H376" i="2"/>
  <c r="J376" i="2"/>
  <c r="G377" i="2"/>
  <c r="H377" i="2"/>
  <c r="J377" i="2"/>
  <c r="G378" i="2"/>
  <c r="H378" i="2"/>
  <c r="J378" i="2"/>
  <c r="G379" i="2"/>
  <c r="H379" i="2"/>
  <c r="J379" i="2"/>
  <c r="G380" i="2"/>
  <c r="H380" i="2"/>
  <c r="J380" i="2"/>
  <c r="G381" i="2"/>
  <c r="H381" i="2"/>
  <c r="J381" i="2"/>
  <c r="G382" i="2"/>
  <c r="H382" i="2"/>
  <c r="J382" i="2"/>
  <c r="G383" i="2"/>
  <c r="H383" i="2"/>
  <c r="J383" i="2"/>
  <c r="G384" i="2"/>
  <c r="H384" i="2"/>
  <c r="J384" i="2"/>
  <c r="G385" i="2"/>
  <c r="H385" i="2"/>
  <c r="J385" i="2"/>
  <c r="G386" i="2"/>
  <c r="H386" i="2"/>
  <c r="J386" i="2"/>
  <c r="G387" i="2"/>
  <c r="H387" i="2"/>
  <c r="J387" i="2"/>
  <c r="G388" i="2"/>
  <c r="H388" i="2"/>
  <c r="J388" i="2"/>
  <c r="G389" i="2"/>
  <c r="H389" i="2"/>
  <c r="J389" i="2"/>
  <c r="G390" i="2"/>
  <c r="H390" i="2"/>
  <c r="J390" i="2"/>
  <c r="G391" i="2"/>
  <c r="H391" i="2"/>
  <c r="J391" i="2"/>
  <c r="G392" i="2"/>
  <c r="H392" i="2"/>
  <c r="J392" i="2"/>
  <c r="G393" i="2"/>
  <c r="H393" i="2"/>
  <c r="J393" i="2"/>
  <c r="G394" i="2"/>
  <c r="H394" i="2"/>
  <c r="J394" i="2"/>
  <c r="G395" i="2"/>
  <c r="H395" i="2"/>
  <c r="J395" i="2"/>
  <c r="G396" i="2"/>
  <c r="H396" i="2"/>
  <c r="J396" i="2"/>
  <c r="G397" i="2"/>
  <c r="H397" i="2"/>
  <c r="J397" i="2"/>
  <c r="G398" i="2"/>
  <c r="H398" i="2"/>
  <c r="J398" i="2"/>
  <c r="G399" i="2"/>
  <c r="H399" i="2"/>
  <c r="J399" i="2"/>
  <c r="G400" i="2"/>
  <c r="H400" i="2"/>
  <c r="J400" i="2"/>
  <c r="G401" i="2"/>
  <c r="H401" i="2"/>
  <c r="J401" i="2"/>
  <c r="G402" i="2"/>
  <c r="H402" i="2"/>
  <c r="J402" i="2"/>
  <c r="G403" i="2"/>
  <c r="H403" i="2"/>
  <c r="J403" i="2"/>
  <c r="G404" i="2"/>
  <c r="H404" i="2"/>
  <c r="J404" i="2"/>
  <c r="G405" i="2"/>
  <c r="H405" i="2"/>
  <c r="J405" i="2"/>
  <c r="G406" i="2"/>
  <c r="H406" i="2"/>
  <c r="J406" i="2"/>
  <c r="G407" i="2"/>
  <c r="H407" i="2"/>
  <c r="J407" i="2"/>
  <c r="G408" i="2"/>
  <c r="H408" i="2"/>
  <c r="J408" i="2"/>
  <c r="G409" i="2"/>
  <c r="H409" i="2"/>
  <c r="J409" i="2"/>
  <c r="G410" i="2"/>
  <c r="H410" i="2"/>
  <c r="J410" i="2"/>
  <c r="G411" i="2"/>
  <c r="H411" i="2"/>
  <c r="J411" i="2"/>
  <c r="G412" i="2"/>
  <c r="H412" i="2"/>
  <c r="J412" i="2"/>
  <c r="G413" i="2"/>
  <c r="H413" i="2"/>
  <c r="J413" i="2"/>
  <c r="G414" i="2"/>
  <c r="H414" i="2"/>
  <c r="J414" i="2"/>
  <c r="G415" i="2"/>
  <c r="H415" i="2"/>
  <c r="J415" i="2"/>
  <c r="G416" i="2"/>
  <c r="H416" i="2"/>
  <c r="J416" i="2"/>
  <c r="G417" i="2"/>
  <c r="H417" i="2"/>
  <c r="J417" i="2"/>
  <c r="G418" i="2"/>
  <c r="H418" i="2"/>
  <c r="J418" i="2"/>
  <c r="G419" i="2"/>
  <c r="H419" i="2"/>
  <c r="J419" i="2"/>
  <c r="G420" i="2"/>
  <c r="H420" i="2"/>
  <c r="J420" i="2"/>
  <c r="G421" i="2"/>
  <c r="H421" i="2"/>
  <c r="J421" i="2"/>
  <c r="G422" i="2"/>
  <c r="H422" i="2"/>
  <c r="J422" i="2"/>
  <c r="G423" i="2"/>
  <c r="H423" i="2"/>
  <c r="J423" i="2"/>
  <c r="G424" i="2"/>
  <c r="H424" i="2"/>
  <c r="J424" i="2"/>
  <c r="G425" i="2"/>
  <c r="H425" i="2"/>
  <c r="J425" i="2"/>
  <c r="G426" i="2"/>
  <c r="H426" i="2"/>
  <c r="J426" i="2"/>
  <c r="G427" i="2"/>
  <c r="H427" i="2"/>
  <c r="J427" i="2"/>
  <c r="G428" i="2"/>
  <c r="H428" i="2"/>
  <c r="J428" i="2"/>
  <c r="G429" i="2"/>
  <c r="H429" i="2"/>
  <c r="J429" i="2"/>
  <c r="G430" i="2"/>
  <c r="H430" i="2"/>
  <c r="J430" i="2"/>
  <c r="G431" i="2"/>
  <c r="H431" i="2"/>
  <c r="J431" i="2"/>
  <c r="G432" i="2"/>
  <c r="H432" i="2"/>
  <c r="J432" i="2"/>
  <c r="G433" i="2"/>
  <c r="H433" i="2"/>
  <c r="J433" i="2"/>
  <c r="G434" i="2"/>
  <c r="H434" i="2"/>
  <c r="J434" i="2"/>
  <c r="G435" i="2"/>
  <c r="H435" i="2"/>
  <c r="J435" i="2"/>
  <c r="G436" i="2"/>
  <c r="H436" i="2"/>
  <c r="J436" i="2"/>
  <c r="G437" i="2"/>
  <c r="H437" i="2"/>
  <c r="J437" i="2"/>
  <c r="G438" i="2"/>
  <c r="H438" i="2"/>
  <c r="J438" i="2"/>
  <c r="G439" i="2"/>
  <c r="H439" i="2"/>
  <c r="J439" i="2"/>
  <c r="G440" i="2"/>
  <c r="H440" i="2"/>
  <c r="J440" i="2"/>
  <c r="G441" i="2"/>
  <c r="H441" i="2"/>
  <c r="J441" i="2"/>
  <c r="G442" i="2"/>
  <c r="H442" i="2"/>
  <c r="J442" i="2"/>
  <c r="G443" i="2"/>
  <c r="H443" i="2"/>
  <c r="J443" i="2"/>
  <c r="G444" i="2"/>
  <c r="H444" i="2"/>
  <c r="J444" i="2"/>
  <c r="G445" i="2"/>
  <c r="H445" i="2"/>
  <c r="J445" i="2"/>
  <c r="G446" i="2"/>
  <c r="H446" i="2"/>
  <c r="J446" i="2"/>
  <c r="G447" i="2"/>
  <c r="H447" i="2"/>
  <c r="J447" i="2"/>
  <c r="G448" i="2"/>
  <c r="H448" i="2"/>
  <c r="J448" i="2"/>
  <c r="G449" i="2"/>
  <c r="H449" i="2"/>
  <c r="J449" i="2"/>
  <c r="G450" i="2"/>
  <c r="H450" i="2"/>
  <c r="J450" i="2"/>
  <c r="G451" i="2"/>
  <c r="H451" i="2"/>
  <c r="J451" i="2"/>
  <c r="G452" i="2"/>
  <c r="H452" i="2"/>
  <c r="J452" i="2"/>
  <c r="G453" i="2"/>
  <c r="H453" i="2"/>
  <c r="J453" i="2"/>
  <c r="G454" i="2"/>
  <c r="H454" i="2"/>
  <c r="J454" i="2"/>
  <c r="G455" i="2"/>
  <c r="H455" i="2"/>
  <c r="J455" i="2"/>
  <c r="G456" i="2"/>
  <c r="H456" i="2"/>
  <c r="J456" i="2"/>
  <c r="G457" i="2"/>
  <c r="H457" i="2"/>
  <c r="J457" i="2"/>
  <c r="G458" i="2"/>
  <c r="H458" i="2"/>
  <c r="J458" i="2"/>
  <c r="G459" i="2"/>
  <c r="H459" i="2"/>
  <c r="J459" i="2"/>
  <c r="G460" i="2"/>
  <c r="H460" i="2"/>
  <c r="J460" i="2"/>
  <c r="G461" i="2"/>
  <c r="H461" i="2"/>
  <c r="J461" i="2"/>
  <c r="G462" i="2"/>
  <c r="H462" i="2"/>
  <c r="J462" i="2"/>
  <c r="G463" i="2"/>
  <c r="H463" i="2"/>
  <c r="J463" i="2"/>
  <c r="G464" i="2"/>
  <c r="H464" i="2"/>
  <c r="J464" i="2"/>
  <c r="G465" i="2"/>
  <c r="H465" i="2"/>
  <c r="J465" i="2"/>
  <c r="G466" i="2"/>
  <c r="H466" i="2"/>
  <c r="J466" i="2"/>
  <c r="G467" i="2"/>
  <c r="H467" i="2"/>
  <c r="J46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2" i="2"/>
  <c r="H3" i="2" l="1"/>
  <c r="H4" i="2"/>
  <c r="B4" i="1" s="1"/>
  <c r="H5" i="2"/>
  <c r="B5" i="1" s="1"/>
  <c r="H6" i="2"/>
  <c r="B6" i="1" s="1"/>
  <c r="H7" i="2"/>
  <c r="B7" i="1" s="1"/>
  <c r="H8" i="2"/>
  <c r="B8" i="1" s="1"/>
  <c r="H9" i="2"/>
  <c r="B9" i="1" s="1"/>
  <c r="H10" i="2"/>
  <c r="B10" i="1" s="1"/>
  <c r="H11" i="2"/>
  <c r="B11" i="1" s="1"/>
  <c r="H12" i="2"/>
  <c r="B12" i="1" s="1"/>
  <c r="H13" i="2"/>
  <c r="B13" i="1" s="1"/>
  <c r="H14" i="2"/>
  <c r="B14" i="1" s="1"/>
  <c r="H15" i="2"/>
  <c r="B15" i="1" s="1"/>
  <c r="H16" i="2"/>
  <c r="B16" i="1" s="1"/>
  <c r="H17" i="2"/>
  <c r="B17" i="1" s="1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2" i="2"/>
  <c r="G13" i="2" l="1"/>
  <c r="A13" i="1" s="1"/>
  <c r="J13" i="2"/>
  <c r="J13" i="1" s="1"/>
  <c r="K13" i="1" s="1"/>
  <c r="G14" i="2"/>
  <c r="A14" i="1" s="1"/>
  <c r="J14" i="2"/>
  <c r="J14" i="1" s="1"/>
  <c r="K14" i="1" s="1"/>
  <c r="G15" i="2"/>
  <c r="A15" i="1" s="1"/>
  <c r="J15" i="2"/>
  <c r="J15" i="1" s="1"/>
  <c r="K15" i="1" s="1"/>
  <c r="G16" i="2"/>
  <c r="A16" i="1" s="1"/>
  <c r="J16" i="2"/>
  <c r="J16" i="1" s="1"/>
  <c r="K16" i="1" s="1"/>
  <c r="G17" i="2"/>
  <c r="A17" i="1" s="1"/>
  <c r="J17" i="2"/>
  <c r="J17" i="1" s="1"/>
  <c r="K17" i="1" s="1"/>
  <c r="G18" i="2"/>
  <c r="J18" i="2"/>
  <c r="G19" i="2"/>
  <c r="J19" i="2"/>
  <c r="G20" i="2"/>
  <c r="J20" i="2"/>
  <c r="G21" i="2"/>
  <c r="J21" i="2"/>
  <c r="G22" i="2"/>
  <c r="J22" i="2"/>
  <c r="G23" i="2"/>
  <c r="J23" i="2"/>
  <c r="G24" i="2"/>
  <c r="J24" i="2"/>
  <c r="G25" i="2"/>
  <c r="J25" i="2"/>
  <c r="G26" i="2"/>
  <c r="J26" i="2"/>
  <c r="G27" i="2"/>
  <c r="J27" i="2"/>
  <c r="G28" i="2"/>
  <c r="J28" i="2"/>
  <c r="G29" i="2"/>
  <c r="J29" i="2"/>
  <c r="G30" i="2"/>
  <c r="J30" i="2"/>
  <c r="G31" i="2"/>
  <c r="J31" i="2"/>
  <c r="G32" i="2"/>
  <c r="J32" i="2"/>
  <c r="G33" i="2"/>
  <c r="J33" i="2"/>
  <c r="G34" i="2"/>
  <c r="J34" i="2"/>
  <c r="G35" i="2"/>
  <c r="J35" i="2"/>
  <c r="G36" i="2"/>
  <c r="J36" i="2"/>
  <c r="G37" i="2"/>
  <c r="J37" i="2"/>
  <c r="G38" i="2"/>
  <c r="J38" i="2"/>
  <c r="G39" i="2"/>
  <c r="J39" i="2"/>
  <c r="G40" i="2"/>
  <c r="J40" i="2"/>
  <c r="G41" i="2"/>
  <c r="J41" i="2"/>
  <c r="G42" i="2"/>
  <c r="J42" i="2"/>
  <c r="G43" i="2"/>
  <c r="J43" i="2"/>
  <c r="G44" i="2"/>
  <c r="J44" i="2"/>
  <c r="G45" i="2"/>
  <c r="J45" i="2"/>
  <c r="G46" i="2"/>
  <c r="J46" i="2"/>
  <c r="G47" i="2"/>
  <c r="J47" i="2"/>
  <c r="G48" i="2"/>
  <c r="J48" i="2"/>
  <c r="G49" i="2"/>
  <c r="J49" i="2"/>
  <c r="G50" i="2"/>
  <c r="J50" i="2"/>
  <c r="G51" i="2"/>
  <c r="J51" i="2"/>
  <c r="G52" i="2"/>
  <c r="J52" i="2"/>
  <c r="G53" i="2"/>
  <c r="J53" i="2"/>
  <c r="G54" i="2"/>
  <c r="J54" i="2"/>
  <c r="G55" i="2"/>
  <c r="J55" i="2"/>
  <c r="G56" i="2"/>
  <c r="J56" i="2"/>
  <c r="G57" i="2"/>
  <c r="J57" i="2"/>
  <c r="G58" i="2"/>
  <c r="J58" i="2"/>
  <c r="G59" i="2"/>
  <c r="J59" i="2"/>
  <c r="G60" i="2"/>
  <c r="J60" i="2"/>
  <c r="G61" i="2"/>
  <c r="J61" i="2"/>
  <c r="G62" i="2"/>
  <c r="J62" i="2"/>
  <c r="G63" i="2"/>
  <c r="J63" i="2"/>
  <c r="G64" i="2"/>
  <c r="J64" i="2"/>
  <c r="G65" i="2"/>
  <c r="J65" i="2"/>
  <c r="G66" i="2"/>
  <c r="J66" i="2"/>
  <c r="G67" i="2"/>
  <c r="J67" i="2"/>
  <c r="G68" i="2"/>
  <c r="J68" i="2"/>
  <c r="G69" i="2"/>
  <c r="J69" i="2"/>
  <c r="G70" i="2"/>
  <c r="J70" i="2"/>
  <c r="G71" i="2"/>
  <c r="J71" i="2"/>
  <c r="G72" i="2"/>
  <c r="J72" i="2"/>
  <c r="G73" i="2"/>
  <c r="J73" i="2"/>
  <c r="G74" i="2"/>
  <c r="J74" i="2"/>
  <c r="G75" i="2"/>
  <c r="J75" i="2"/>
  <c r="G76" i="2"/>
  <c r="J76" i="2"/>
  <c r="G77" i="2"/>
  <c r="J77" i="2"/>
  <c r="G78" i="2"/>
  <c r="J78" i="2"/>
  <c r="G79" i="2"/>
  <c r="J79" i="2"/>
  <c r="G80" i="2"/>
  <c r="J80" i="2"/>
  <c r="G81" i="2"/>
  <c r="J81" i="2"/>
  <c r="G82" i="2"/>
  <c r="J82" i="2"/>
  <c r="G83" i="2"/>
  <c r="J83" i="2"/>
  <c r="G84" i="2"/>
  <c r="J84" i="2"/>
  <c r="G85" i="2"/>
  <c r="J85" i="2"/>
  <c r="G86" i="2"/>
  <c r="J86" i="2"/>
  <c r="G87" i="2"/>
  <c r="J87" i="2"/>
  <c r="G88" i="2"/>
  <c r="J88" i="2"/>
  <c r="G89" i="2"/>
  <c r="J89" i="2"/>
  <c r="G90" i="2"/>
  <c r="J90" i="2"/>
  <c r="G91" i="2"/>
  <c r="J91" i="2"/>
  <c r="G92" i="2"/>
  <c r="J92" i="2"/>
  <c r="G93" i="2"/>
  <c r="J93" i="2"/>
  <c r="G94" i="2"/>
  <c r="J94" i="2"/>
  <c r="G95" i="2"/>
  <c r="J95" i="2"/>
  <c r="G96" i="2"/>
  <c r="J96" i="2"/>
  <c r="G97" i="2"/>
  <c r="J97" i="2"/>
  <c r="G98" i="2"/>
  <c r="J98" i="2"/>
  <c r="G99" i="2"/>
  <c r="J99" i="2"/>
  <c r="G100" i="2"/>
  <c r="J100" i="2"/>
  <c r="G101" i="2"/>
  <c r="J101" i="2"/>
  <c r="G102" i="2"/>
  <c r="J102" i="2"/>
  <c r="G103" i="2"/>
  <c r="J103" i="2"/>
  <c r="G104" i="2"/>
  <c r="J104" i="2"/>
  <c r="G105" i="2"/>
  <c r="J105" i="2"/>
  <c r="G106" i="2"/>
  <c r="J106" i="2"/>
  <c r="G107" i="2"/>
  <c r="J107" i="2"/>
  <c r="G108" i="2"/>
  <c r="J108" i="2"/>
  <c r="G109" i="2"/>
  <c r="J109" i="2"/>
  <c r="G110" i="2"/>
  <c r="J110" i="2"/>
  <c r="G111" i="2"/>
  <c r="J111" i="2"/>
  <c r="G112" i="2"/>
  <c r="J112" i="2"/>
  <c r="G113" i="2"/>
  <c r="J113" i="2"/>
  <c r="G114" i="2"/>
  <c r="J114" i="2"/>
  <c r="G115" i="2"/>
  <c r="J115" i="2"/>
  <c r="G116" i="2"/>
  <c r="J116" i="2"/>
  <c r="G117" i="2"/>
  <c r="J117" i="2"/>
  <c r="G118" i="2"/>
  <c r="J118" i="2"/>
  <c r="G119" i="2"/>
  <c r="J119" i="2"/>
  <c r="G120" i="2"/>
  <c r="J120" i="2"/>
  <c r="G121" i="2"/>
  <c r="J121" i="2"/>
  <c r="G122" i="2"/>
  <c r="J122" i="2"/>
  <c r="G123" i="2"/>
  <c r="J123" i="2"/>
  <c r="G124" i="2"/>
  <c r="J124" i="2"/>
  <c r="G125" i="2"/>
  <c r="J125" i="2"/>
  <c r="G126" i="2"/>
  <c r="J126" i="2"/>
  <c r="G127" i="2"/>
  <c r="J127" i="2"/>
  <c r="G128" i="2"/>
  <c r="J128" i="2"/>
  <c r="G129" i="2"/>
  <c r="J129" i="2"/>
  <c r="G130" i="2"/>
  <c r="J130" i="2"/>
  <c r="G131" i="2"/>
  <c r="J131" i="2"/>
  <c r="G132" i="2"/>
  <c r="J132" i="2"/>
  <c r="G133" i="2"/>
  <c r="J133" i="2"/>
  <c r="G134" i="2"/>
  <c r="J134" i="2"/>
  <c r="G135" i="2"/>
  <c r="J135" i="2"/>
  <c r="G136" i="2"/>
  <c r="J136" i="2"/>
  <c r="G137" i="2"/>
  <c r="J137" i="2"/>
  <c r="G138" i="2"/>
  <c r="J138" i="2"/>
  <c r="G139" i="2"/>
  <c r="J139" i="2"/>
  <c r="G140" i="2"/>
  <c r="J140" i="2"/>
  <c r="G141" i="2"/>
  <c r="J141" i="2"/>
  <c r="G142" i="2"/>
  <c r="J142" i="2"/>
  <c r="G143" i="2"/>
  <c r="J143" i="2"/>
  <c r="G144" i="2"/>
  <c r="J144" i="2"/>
  <c r="G145" i="2"/>
  <c r="J145" i="2"/>
  <c r="G146" i="2"/>
  <c r="J146" i="2"/>
  <c r="G147" i="2"/>
  <c r="J147" i="2"/>
  <c r="G148" i="2"/>
  <c r="J148" i="2"/>
  <c r="G149" i="2"/>
  <c r="J149" i="2"/>
  <c r="G150" i="2"/>
  <c r="J150" i="2"/>
  <c r="G151" i="2"/>
  <c r="J151" i="2"/>
  <c r="G152" i="2"/>
  <c r="J152" i="2"/>
  <c r="G153" i="2"/>
  <c r="J153" i="2"/>
  <c r="G154" i="2"/>
  <c r="J154" i="2"/>
  <c r="G155" i="2"/>
  <c r="J155" i="2"/>
  <c r="G156" i="2"/>
  <c r="J156" i="2"/>
  <c r="G157" i="2"/>
  <c r="J157" i="2"/>
  <c r="G158" i="2"/>
  <c r="J158" i="2"/>
  <c r="G159" i="2"/>
  <c r="J159" i="2"/>
  <c r="G160" i="2"/>
  <c r="J160" i="2"/>
  <c r="G161" i="2"/>
  <c r="J161" i="2"/>
  <c r="G162" i="2"/>
  <c r="J162" i="2"/>
  <c r="G163" i="2"/>
  <c r="J163" i="2"/>
  <c r="G164" i="2"/>
  <c r="J164" i="2"/>
  <c r="G165" i="2"/>
  <c r="J165" i="2"/>
  <c r="G166" i="2"/>
  <c r="J166" i="2"/>
  <c r="G167" i="2"/>
  <c r="J167" i="2"/>
  <c r="G168" i="2"/>
  <c r="J168" i="2"/>
  <c r="G169" i="2"/>
  <c r="J169" i="2"/>
  <c r="G170" i="2"/>
  <c r="J170" i="2"/>
  <c r="G171" i="2"/>
  <c r="J171" i="2"/>
  <c r="G172" i="2"/>
  <c r="J172" i="2"/>
  <c r="G173" i="2"/>
  <c r="J173" i="2"/>
  <c r="G174" i="2"/>
  <c r="J174" i="2"/>
  <c r="G175" i="2"/>
  <c r="J175" i="2"/>
  <c r="G176" i="2"/>
  <c r="J176" i="2"/>
  <c r="G177" i="2"/>
  <c r="J177" i="2"/>
  <c r="G178" i="2"/>
  <c r="J178" i="2"/>
  <c r="G179" i="2"/>
  <c r="J179" i="2"/>
  <c r="G180" i="2"/>
  <c r="J180" i="2"/>
  <c r="G181" i="2"/>
  <c r="J181" i="2"/>
  <c r="G182" i="2"/>
  <c r="J182" i="2"/>
  <c r="G183" i="2"/>
  <c r="J183" i="2"/>
  <c r="G184" i="2"/>
  <c r="J184" i="2"/>
  <c r="G185" i="2"/>
  <c r="J185" i="2"/>
  <c r="G186" i="2"/>
  <c r="J186" i="2"/>
  <c r="G187" i="2"/>
  <c r="J187" i="2"/>
  <c r="G188" i="2"/>
  <c r="J188" i="2"/>
  <c r="G189" i="2"/>
  <c r="J189" i="2"/>
  <c r="G190" i="2"/>
  <c r="J190" i="2"/>
  <c r="G191" i="2"/>
  <c r="J191" i="2"/>
  <c r="G192" i="2"/>
  <c r="J192" i="2"/>
  <c r="G193" i="2"/>
  <c r="J193" i="2"/>
  <c r="G194" i="2"/>
  <c r="J194" i="2"/>
  <c r="G195" i="2"/>
  <c r="J195" i="2"/>
  <c r="G196" i="2"/>
  <c r="J196" i="2"/>
  <c r="G197" i="2"/>
  <c r="J197" i="2"/>
  <c r="G198" i="2"/>
  <c r="J198" i="2"/>
  <c r="G199" i="2"/>
  <c r="J199" i="2"/>
  <c r="G200" i="2"/>
  <c r="J200" i="2"/>
  <c r="G201" i="2"/>
  <c r="J201" i="2"/>
  <c r="G202" i="2"/>
  <c r="J202" i="2"/>
  <c r="G203" i="2"/>
  <c r="J203" i="2"/>
  <c r="G204" i="2"/>
  <c r="J204" i="2"/>
  <c r="G205" i="2"/>
  <c r="J205" i="2"/>
  <c r="G206" i="2"/>
  <c r="J206" i="2"/>
  <c r="G207" i="2"/>
  <c r="J207" i="2"/>
  <c r="G208" i="2"/>
  <c r="J208" i="2"/>
  <c r="G209" i="2"/>
  <c r="J209" i="2"/>
  <c r="G210" i="2"/>
  <c r="J210" i="2"/>
  <c r="G211" i="2"/>
  <c r="J211" i="2"/>
  <c r="G212" i="2"/>
  <c r="J212" i="2"/>
  <c r="G213" i="2"/>
  <c r="J213" i="2"/>
  <c r="G214" i="2"/>
  <c r="J214" i="2"/>
  <c r="G215" i="2"/>
  <c r="J215" i="2"/>
  <c r="G216" i="2"/>
  <c r="J216" i="2"/>
  <c r="G217" i="2"/>
  <c r="J217" i="2"/>
  <c r="G218" i="2"/>
  <c r="J218" i="2"/>
  <c r="G219" i="2"/>
  <c r="J219" i="2"/>
  <c r="G220" i="2"/>
  <c r="J220" i="2"/>
  <c r="G221" i="2"/>
  <c r="J221" i="2"/>
  <c r="G222" i="2"/>
  <c r="J222" i="2"/>
  <c r="G223" i="2"/>
  <c r="J223" i="2"/>
  <c r="G224" i="2"/>
  <c r="J224" i="2"/>
  <c r="G225" i="2"/>
  <c r="J225" i="2"/>
  <c r="G226" i="2"/>
  <c r="J226" i="2"/>
  <c r="G227" i="2"/>
  <c r="J227" i="2"/>
  <c r="G228" i="2"/>
  <c r="J228" i="2"/>
  <c r="G229" i="2"/>
  <c r="J229" i="2"/>
  <c r="G230" i="2"/>
  <c r="J230" i="2"/>
  <c r="G231" i="2"/>
  <c r="J231" i="2"/>
  <c r="G232" i="2"/>
  <c r="J232" i="2"/>
  <c r="G233" i="2"/>
  <c r="J233" i="2"/>
  <c r="G234" i="2"/>
  <c r="J234" i="2"/>
  <c r="G235" i="2"/>
  <c r="J235" i="2"/>
  <c r="G236" i="2"/>
  <c r="J236" i="2"/>
  <c r="G237" i="2"/>
  <c r="J237" i="2"/>
  <c r="G238" i="2"/>
  <c r="J238" i="2"/>
  <c r="G239" i="2"/>
  <c r="J239" i="2"/>
  <c r="G240" i="2"/>
  <c r="J240" i="2"/>
  <c r="G241" i="2"/>
  <c r="J241" i="2"/>
  <c r="G242" i="2"/>
  <c r="J242" i="2"/>
  <c r="G243" i="2"/>
  <c r="J243" i="2"/>
  <c r="G244" i="2"/>
  <c r="J244" i="2"/>
  <c r="G245" i="2"/>
  <c r="J245" i="2"/>
  <c r="G246" i="2"/>
  <c r="J246" i="2"/>
  <c r="G247" i="2"/>
  <c r="J247" i="2"/>
  <c r="G248" i="2"/>
  <c r="J248" i="2"/>
  <c r="G249" i="2"/>
  <c r="J249" i="2"/>
  <c r="G250" i="2"/>
  <c r="J250" i="2"/>
  <c r="G251" i="2"/>
  <c r="J251" i="2"/>
  <c r="G252" i="2"/>
  <c r="J252" i="2"/>
  <c r="G253" i="2"/>
  <c r="J253" i="2"/>
  <c r="G254" i="2"/>
  <c r="J254" i="2"/>
  <c r="G255" i="2"/>
  <c r="J255" i="2"/>
  <c r="G256" i="2"/>
  <c r="J256" i="2"/>
  <c r="G257" i="2"/>
  <c r="J257" i="2"/>
  <c r="G258" i="2"/>
  <c r="J258" i="2"/>
  <c r="G259" i="2"/>
  <c r="J259" i="2"/>
  <c r="G260" i="2"/>
  <c r="J260" i="2"/>
  <c r="G261" i="2"/>
  <c r="J261" i="2"/>
  <c r="G262" i="2"/>
  <c r="J262" i="2"/>
  <c r="G263" i="2"/>
  <c r="J263" i="2"/>
  <c r="G264" i="2"/>
  <c r="J264" i="2"/>
  <c r="G265" i="2"/>
  <c r="J265" i="2"/>
  <c r="G266" i="2"/>
  <c r="J266" i="2"/>
  <c r="G267" i="2"/>
  <c r="J267" i="2"/>
  <c r="G268" i="2"/>
  <c r="J268" i="2"/>
  <c r="G269" i="2"/>
  <c r="J269" i="2"/>
  <c r="G270" i="2"/>
  <c r="J270" i="2"/>
  <c r="G271" i="2"/>
  <c r="J271" i="2"/>
  <c r="G272" i="2"/>
  <c r="J272" i="2"/>
  <c r="G273" i="2"/>
  <c r="J273" i="2"/>
  <c r="G274" i="2"/>
  <c r="J274" i="2"/>
  <c r="G275" i="2"/>
  <c r="J275" i="2"/>
  <c r="G276" i="2"/>
  <c r="J276" i="2"/>
  <c r="G277" i="2"/>
  <c r="J277" i="2"/>
  <c r="G278" i="2"/>
  <c r="J278" i="2"/>
  <c r="G279" i="2"/>
  <c r="J279" i="2"/>
  <c r="G280" i="2"/>
  <c r="J280" i="2"/>
  <c r="G281" i="2"/>
  <c r="J281" i="2"/>
  <c r="G282" i="2"/>
  <c r="J282" i="2"/>
  <c r="G283" i="2"/>
  <c r="J283" i="2"/>
  <c r="G284" i="2"/>
  <c r="J284" i="2"/>
  <c r="G285" i="2"/>
  <c r="J285" i="2"/>
  <c r="G286" i="2"/>
  <c r="J286" i="2"/>
  <c r="G287" i="2"/>
  <c r="J287" i="2"/>
  <c r="G288" i="2"/>
  <c r="J288" i="2"/>
  <c r="G289" i="2"/>
  <c r="J289" i="2"/>
  <c r="G290" i="2"/>
  <c r="J290" i="2"/>
  <c r="G291" i="2"/>
  <c r="J291" i="2"/>
  <c r="G292" i="2"/>
  <c r="J292" i="2"/>
  <c r="G293" i="2"/>
  <c r="J293" i="2"/>
  <c r="G294" i="2"/>
  <c r="J294" i="2"/>
  <c r="G295" i="2"/>
  <c r="J295" i="2"/>
  <c r="G296" i="2"/>
  <c r="J296" i="2"/>
  <c r="G297" i="2"/>
  <c r="J297" i="2"/>
  <c r="G298" i="2"/>
  <c r="J298" i="2"/>
  <c r="G299" i="2"/>
  <c r="J299" i="2"/>
  <c r="G300" i="2"/>
  <c r="J300" i="2"/>
  <c r="G301" i="2"/>
  <c r="J301" i="2"/>
  <c r="G302" i="2"/>
  <c r="J302" i="2"/>
  <c r="G303" i="2"/>
  <c r="J303" i="2"/>
  <c r="G304" i="2"/>
  <c r="J304" i="2"/>
  <c r="G305" i="2"/>
  <c r="J305" i="2"/>
  <c r="G306" i="2"/>
  <c r="J306" i="2"/>
  <c r="G307" i="2"/>
  <c r="J307" i="2"/>
  <c r="G308" i="2"/>
  <c r="J308" i="2"/>
  <c r="G309" i="2"/>
  <c r="J309" i="2"/>
  <c r="G310" i="2"/>
  <c r="J310" i="2"/>
  <c r="G311" i="2"/>
  <c r="J311" i="2"/>
  <c r="G312" i="2"/>
  <c r="J312" i="2"/>
  <c r="G313" i="2"/>
  <c r="J313" i="2"/>
  <c r="G314" i="2"/>
  <c r="J314" i="2"/>
  <c r="G315" i="2"/>
  <c r="J315" i="2"/>
  <c r="G316" i="2"/>
  <c r="J316" i="2"/>
  <c r="G317" i="2"/>
  <c r="J317" i="2"/>
  <c r="G318" i="2"/>
  <c r="J318" i="2"/>
  <c r="G319" i="2"/>
  <c r="J319" i="2"/>
  <c r="G2" i="2" l="1"/>
  <c r="G3" i="2"/>
  <c r="G4" i="2"/>
  <c r="A4" i="1" s="1"/>
  <c r="G5" i="2"/>
  <c r="A5" i="1" s="1"/>
  <c r="G6" i="2"/>
  <c r="A6" i="1" s="1"/>
  <c r="C3" i="1" l="1"/>
  <c r="C2" i="1"/>
  <c r="J3" i="2"/>
  <c r="J3" i="1" s="1"/>
  <c r="J4" i="2"/>
  <c r="J4" i="1" s="1"/>
  <c r="K4" i="1" s="1"/>
  <c r="J5" i="2"/>
  <c r="J5" i="1" s="1"/>
  <c r="K5" i="1" s="1"/>
  <c r="J6" i="2"/>
  <c r="J6" i="1" s="1"/>
  <c r="K6" i="1" s="1"/>
  <c r="J7" i="2"/>
  <c r="J7" i="1" s="1"/>
  <c r="K7" i="1" s="1"/>
  <c r="J8" i="2"/>
  <c r="J8" i="1" s="1"/>
  <c r="K8" i="1" s="1"/>
  <c r="J9" i="2"/>
  <c r="J9" i="1" s="1"/>
  <c r="K9" i="1" s="1"/>
  <c r="J10" i="2"/>
  <c r="J10" i="1" s="1"/>
  <c r="K10" i="1" s="1"/>
  <c r="J11" i="2"/>
  <c r="J11" i="1" s="1"/>
  <c r="K11" i="1" s="1"/>
  <c r="J12" i="2"/>
  <c r="J12" i="1" s="1"/>
  <c r="K12" i="1" s="1"/>
  <c r="J2" i="2"/>
  <c r="J2" i="1" s="1"/>
  <c r="K3" i="1" l="1"/>
  <c r="K2" i="1"/>
  <c r="A3" i="1" l="1"/>
  <c r="B3" i="1"/>
  <c r="G7" i="2"/>
  <c r="A7" i="1" s="1"/>
  <c r="G8" i="2"/>
  <c r="A8" i="1" s="1"/>
  <c r="G9" i="2"/>
  <c r="A9" i="1" s="1"/>
  <c r="G10" i="2"/>
  <c r="A10" i="1" s="1"/>
  <c r="G11" i="2"/>
  <c r="A11" i="1" s="1"/>
  <c r="G12" i="2"/>
  <c r="A12" i="1" s="1"/>
  <c r="B2" i="1"/>
  <c r="A2" i="1"/>
</calcChain>
</file>

<file path=xl/sharedStrings.xml><?xml version="1.0" encoding="utf-8"?>
<sst xmlns="http://schemas.openxmlformats.org/spreadsheetml/2006/main" count="1214" uniqueCount="1169">
  <si>
    <t>주문상품</t>
  </si>
  <si>
    <t>옵션명</t>
  </si>
  <si>
    <t>상세주소</t>
  </si>
  <si>
    <t>배송메시지</t>
  </si>
  <si>
    <t>오아안개가습기500</t>
  </si>
  <si>
    <t>오아레그스파-네이비</t>
  </si>
  <si>
    <t>쿠팡벤더플렉스-오아</t>
    <phoneticPr fontId="2" type="noConversion"/>
  </si>
  <si>
    <t>010-6844-6871</t>
  </si>
  <si>
    <t>H0002</t>
  </si>
  <si>
    <t>A01224</t>
  </si>
  <si>
    <t>경상북도 포항시 남구 대송면 송덕로212번길 138 제8동호</t>
  </si>
  <si>
    <t>수량</t>
  </si>
  <si>
    <t>수령인</t>
  </si>
  <si>
    <t>연락처</t>
  </si>
  <si>
    <t>우편번호</t>
  </si>
  <si>
    <t>주소</t>
  </si>
  <si>
    <t>오아클린이워터B</t>
  </si>
  <si>
    <t>오아무드가습기1000</t>
  </si>
  <si>
    <t>오아눈편한세상</t>
  </si>
  <si>
    <t>오아플렌티플렛4L</t>
  </si>
  <si>
    <t>오아히트스팟W</t>
  </si>
  <si>
    <t>오아바디스팟W</t>
  </si>
  <si>
    <t>O0020</t>
  </si>
  <si>
    <t>W0009</t>
  </si>
  <si>
    <t>M0052</t>
  </si>
  <si>
    <t>H0222</t>
  </si>
  <si>
    <t>M0139</t>
  </si>
  <si>
    <t>상품명</t>
  </si>
  <si>
    <t>오아무드가습기500</t>
  </si>
  <si>
    <t>오아플렌티스팀3L</t>
  </si>
  <si>
    <t>오아타워가습기</t>
  </si>
  <si>
    <t>오아클라젯가습기</t>
  </si>
  <si>
    <t>오아엠젯가습기</t>
  </si>
  <si>
    <t>오아도트플러스가습기</t>
  </si>
  <si>
    <t>오아에어워셔</t>
  </si>
  <si>
    <t>오아IoT플러스가습기</t>
  </si>
  <si>
    <t>오아리아가습기</t>
  </si>
  <si>
    <t>오아도트가습기</t>
  </si>
  <si>
    <t>오아플렌티무드가습기</t>
  </si>
  <si>
    <t>오아안개가습기1000</t>
  </si>
  <si>
    <t>오아이글루가습기</t>
  </si>
  <si>
    <t>오아베이직가습기</t>
  </si>
  <si>
    <t>오아플렌티큐브가습기</t>
  </si>
  <si>
    <t>오아플렌티브릭가습기</t>
  </si>
  <si>
    <t>오아IoT무드가습기</t>
  </si>
  <si>
    <t>오아듀얼포그무선가습기</t>
  </si>
  <si>
    <t>오아센스S무선가습기</t>
  </si>
  <si>
    <t>오아듀얼미스트무선가습기</t>
  </si>
  <si>
    <t>오아스퀘어미니가습기-베이지</t>
  </si>
  <si>
    <t>오아스퀘어미니가습기-화이트</t>
  </si>
  <si>
    <t>오아캡슐가습기</t>
  </si>
  <si>
    <t>오아센스C무선가습기</t>
  </si>
  <si>
    <t>오아퓨어공기청정기-화이트</t>
  </si>
  <si>
    <t>오아퓨어필워터L</t>
  </si>
  <si>
    <t>오아클린이퓨어C</t>
  </si>
  <si>
    <t>오아클린이워터F</t>
  </si>
  <si>
    <t>오아클린이소프트R-블랙</t>
  </si>
  <si>
    <t>오아클린이소프트R-화이트</t>
  </si>
  <si>
    <t>오아클린이워터D</t>
  </si>
  <si>
    <t>오아클린이워터S-화이트</t>
  </si>
  <si>
    <t>오아클린이컴팩트</t>
  </si>
  <si>
    <t>오아클린이소프트-블랙</t>
  </si>
  <si>
    <t>오아클린이소프트-화이트</t>
  </si>
  <si>
    <t>오아클린이큐어</t>
  </si>
  <si>
    <t>오아클린이퓨어Air</t>
  </si>
  <si>
    <t>오아클린이소프트B-블랙</t>
  </si>
  <si>
    <t>오아클린이소프트B-화이트</t>
  </si>
  <si>
    <t>오아클린이퓨어ProD</t>
  </si>
  <si>
    <t>오아클린이베어-핑크</t>
  </si>
  <si>
    <t>오아클린이베어-블루</t>
  </si>
  <si>
    <t>오아클린이펭귄-블루</t>
  </si>
  <si>
    <t>오아클린이펭귄-핑크</t>
  </si>
  <si>
    <t>오아퓨어필워터</t>
  </si>
  <si>
    <t>보아르스위프클링전용필터</t>
  </si>
  <si>
    <t>오아에어셋거치대</t>
  </si>
  <si>
    <t>오아와이더F3</t>
  </si>
  <si>
    <t>오아와이더C</t>
  </si>
  <si>
    <t>오아와이더F2</t>
  </si>
  <si>
    <t>오아퀵차지팩</t>
  </si>
  <si>
    <t>오아셀카프로</t>
  </si>
  <si>
    <t>오아몬스터c케이블</t>
  </si>
  <si>
    <t>오아셀카프로짐벌-블랙</t>
  </si>
  <si>
    <t>오아폴드A</t>
  </si>
  <si>
    <t>오아폴드I</t>
  </si>
  <si>
    <t>오아25W고속충전어댑터</t>
  </si>
  <si>
    <t>오아몬스터L케이블</t>
  </si>
  <si>
    <t>오아터치펜M</t>
  </si>
  <si>
    <t>보아르컴플릿20L쓰레기통-베이지</t>
  </si>
  <si>
    <t>오아스마트건조기4kg</t>
  </si>
  <si>
    <t>보아르TV스탠드와이드</t>
  </si>
  <si>
    <t>보아르아이워시</t>
  </si>
  <si>
    <t>오아아이로너터보-화이트</t>
  </si>
  <si>
    <t>보아르스티머인젝터</t>
  </si>
  <si>
    <t>보아르트래블스티머</t>
  </si>
  <si>
    <t>보아르슈즈쏙-화이트</t>
  </si>
  <si>
    <t>오아울트라젯핸디팬</t>
  </si>
  <si>
    <t>오아모노에어써큘레이터</t>
  </si>
  <si>
    <t>오아터보젯핸디팬</t>
  </si>
  <si>
    <t>오아턴에어pro탁상팬</t>
  </si>
  <si>
    <t>오아라운드선풍기</t>
  </si>
  <si>
    <t>오아턴에어탁상팬</t>
  </si>
  <si>
    <t>오아타프실링팬-화이트</t>
  </si>
  <si>
    <t>오아넥쿨러프로선풍기-화이트</t>
  </si>
  <si>
    <t>오아넥쿨러프로선풍기-베이지</t>
  </si>
  <si>
    <t>오아슈퍼젯핸디팬</t>
  </si>
  <si>
    <t>오아스퀘어프로탁상팬</t>
  </si>
  <si>
    <t>오아턴에어미니탁상팬</t>
  </si>
  <si>
    <t>오아바디팬-네이비</t>
  </si>
  <si>
    <t>오아바디팬-화이트</t>
  </si>
  <si>
    <t>오아에어쿨핸디</t>
  </si>
  <si>
    <t>오아라운드멀티팬</t>
  </si>
  <si>
    <t>오아라운드미니선풍기-베이지</t>
  </si>
  <si>
    <t>오아라운드미니선풍기-화이트</t>
  </si>
  <si>
    <t>오아스퀘어미니선풍기-베이지</t>
  </si>
  <si>
    <t>오아스퀘어미니선풍기-화이트</t>
  </si>
  <si>
    <t>오아콤비팬-베이지</t>
  </si>
  <si>
    <t>오아콤비팬-화이트</t>
  </si>
  <si>
    <t>오아라운드핸디팬</t>
  </si>
  <si>
    <t>오아반디팬</t>
  </si>
  <si>
    <t>오아촉촉300필터</t>
  </si>
  <si>
    <t>보아르V에어67프리미엄필터</t>
  </si>
  <si>
    <t>보아르V에어46프리미엄필터</t>
  </si>
  <si>
    <t>보아르에이블초고속진공블렌더진공용기컵</t>
  </si>
  <si>
    <t>보아르V에어43프리미엄필터</t>
  </si>
  <si>
    <t>보아르클린에어펫팸필터</t>
  </si>
  <si>
    <t>보아르클린에어프리미엄필터</t>
  </si>
  <si>
    <t>보아르그린에어필터</t>
  </si>
  <si>
    <t>보아르휘겔리펫팸필터</t>
  </si>
  <si>
    <t>보아르휘겔리프리미엄필터</t>
  </si>
  <si>
    <t>보아르포스D14침구브러시-화이트</t>
  </si>
  <si>
    <t>보아르모아스마트제습기13L필터</t>
  </si>
  <si>
    <t>보아르모아M1000HEPA필터</t>
  </si>
  <si>
    <t>오아클린이소프트미세모2p-화이트x2</t>
  </si>
  <si>
    <t>오아클린이소프트미세모2p-블랙x2</t>
  </si>
  <si>
    <t>보아르RB써클린먼지통용필터</t>
  </si>
  <si>
    <t>오아클린보틀-필터</t>
  </si>
  <si>
    <t>오아도트플러스가습기전용필터</t>
  </si>
  <si>
    <t>오아엠젯가습기전용필터</t>
  </si>
  <si>
    <t>오아도트가습기전용필터</t>
  </si>
  <si>
    <t>오아클린이소프트리필칫솔모2P-블랙x2</t>
  </si>
  <si>
    <t>오아클린이소프트리필칫솔모2P-화이트x2</t>
  </si>
  <si>
    <t>오아퓨어오에어1공기청정기필터</t>
  </si>
  <si>
    <t>보아르RD스핀-회전브러시</t>
  </si>
  <si>
    <t>오아센스S무선가습기필터</t>
  </si>
  <si>
    <t>오아클린이소프트미세모2p-블랙</t>
  </si>
  <si>
    <t>오아클린이소프트미세모2p-화이트</t>
  </si>
  <si>
    <t>오아넥큐어겔패드</t>
  </si>
  <si>
    <t>보아르RD스핀-물걸레패드</t>
  </si>
  <si>
    <t>오아효도손마사지기-블랙</t>
  </si>
  <si>
    <t>오아에어핸드손마사지기-화이트</t>
  </si>
  <si>
    <t>오아스트레칭마사지기</t>
  </si>
  <si>
    <t>오아다리360</t>
  </si>
  <si>
    <t>오아듀얼무릎마사지기V2</t>
  </si>
  <si>
    <t>오아아이템플</t>
  </si>
  <si>
    <t>오아듀얼손안마기-화이트</t>
  </si>
  <si>
    <t>오아무선넥앤숄더-베이지</t>
  </si>
  <si>
    <t>오아EYE프로-화이트</t>
  </si>
  <si>
    <t>오아멀티마사지건-블랙</t>
  </si>
  <si>
    <t>오아굿모닝베개안마기</t>
  </si>
  <si>
    <t>오아손편한세상</t>
  </si>
  <si>
    <t>오아넥앤숄더-베이지</t>
  </si>
  <si>
    <t>오아넥앤스파마사지기</t>
  </si>
  <si>
    <t>오아쿠션안마기L</t>
  </si>
  <si>
    <t>오아다리C1</t>
  </si>
  <si>
    <t>오아힐스케어마사지기</t>
  </si>
  <si>
    <t>오아무선바디케어마사지기</t>
  </si>
  <si>
    <t>오아두드림마사지기-화이트</t>
  </si>
  <si>
    <t>오아넥스트레쳐</t>
  </si>
  <si>
    <t>오아바디스팟Knee</t>
  </si>
  <si>
    <t>오아바디건</t>
  </si>
  <si>
    <t>오아온열찜질기</t>
  </si>
  <si>
    <t>오아슈퍼건</t>
  </si>
  <si>
    <t>오아아이콕</t>
  </si>
  <si>
    <t>오아넥큐어</t>
  </si>
  <si>
    <t>오아허그워머</t>
  </si>
  <si>
    <t>오아트래블러</t>
  </si>
  <si>
    <t>오아슬리머-브라운</t>
  </si>
  <si>
    <t>오아쿠션안마기</t>
  </si>
  <si>
    <t>오아바디스팟S</t>
  </si>
  <si>
    <t>오아굿나잇온열안대</t>
  </si>
  <si>
    <t>오아이리와펫자동급식기-화이트</t>
  </si>
  <si>
    <t>오아이리와펫자동급수기</t>
  </si>
  <si>
    <t>오아펫츠애견유모차</t>
  </si>
  <si>
    <t>오아이리와멀티펫리드줄</t>
  </si>
  <si>
    <t>보아르아가스윙아기그네</t>
  </si>
  <si>
    <t>보아르아가홀스스프링카</t>
  </si>
  <si>
    <t>보아르허니즈백색소음기</t>
  </si>
  <si>
    <t>오아클래식LP플레이어</t>
  </si>
  <si>
    <t>오아뮤즈S마이크</t>
  </si>
  <si>
    <t>오아더블아이브릭-골든우드</t>
  </si>
  <si>
    <t>오아더블아이브릭-딥우드</t>
  </si>
  <si>
    <t>오아레트로블루투스스피커</t>
  </si>
  <si>
    <t>오아미니턴테이블스피커</t>
  </si>
  <si>
    <t>오아아이브릭-카카오-골든우드</t>
  </si>
  <si>
    <t>오아아이브릭-카카오-딥우드</t>
  </si>
  <si>
    <t>오아글로우벨블루투스스피커</t>
  </si>
  <si>
    <t>오아이지네일드릴</t>
  </si>
  <si>
    <t>오아코털제거기PRO</t>
  </si>
  <si>
    <t>오아오토셋</t>
  </si>
  <si>
    <t>오아에어셋-아이보리</t>
  </si>
  <si>
    <t>오아블링컬봉고데기</t>
  </si>
  <si>
    <t>오아슈퍼윈디드라이기</t>
  </si>
  <si>
    <t>오아슈퍼플로우드라이기</t>
  </si>
  <si>
    <t>오아에어셋-핑크</t>
  </si>
  <si>
    <t>오아에어리소닉드라이기-핑크</t>
  </si>
  <si>
    <t>오아더벨벳무선고데기</t>
  </si>
  <si>
    <t>오아데일리고데기</t>
  </si>
  <si>
    <t>오아뷰티빗고데기</t>
  </si>
  <si>
    <t>오아스칼프빔</t>
  </si>
  <si>
    <t>오아이지물결고데기</t>
  </si>
  <si>
    <t>오아와이드고데기</t>
  </si>
  <si>
    <t>오아프로쉐이버</t>
  </si>
  <si>
    <t>오아컴팩트소닉드라이기</t>
  </si>
  <si>
    <t>오아냉온열피지흡입기</t>
  </si>
  <si>
    <t>오아쁘띠케어갈바닉클렌저</t>
  </si>
  <si>
    <t>오아이지봉고데기-핑크</t>
  </si>
  <si>
    <t>오아이지봉고데기-화이트</t>
  </si>
  <si>
    <t>오아무선고데기</t>
  </si>
  <si>
    <t>오아물결고데기</t>
  </si>
  <si>
    <t>오아퓨어라인진동클렌저-블랙</t>
  </si>
  <si>
    <t>오아브러쉬고데기</t>
  </si>
  <si>
    <t>오아쁘띠컬링</t>
  </si>
  <si>
    <t>오아히팅마스크</t>
  </si>
  <si>
    <t>오아발각질제거기</t>
  </si>
  <si>
    <t>오아이지컷클리퍼</t>
  </si>
  <si>
    <t>오아전동눈썹정리기</t>
  </si>
  <si>
    <t>오아다이얼클리퍼</t>
  </si>
  <si>
    <t>오아코털제거기</t>
  </si>
  <si>
    <t>오아O2공기청정기-아이보리</t>
  </si>
  <si>
    <t>오아오토고데기40mm-퍼플</t>
  </si>
  <si>
    <t>보아르모아파워제습기16L</t>
  </si>
  <si>
    <t>보아르모아스마트제습기13L</t>
  </si>
  <si>
    <t>보아르모아스마트12L가정용대용량제습기-블랙</t>
  </si>
  <si>
    <t>보아르모아파워제습기6L</t>
  </si>
  <si>
    <t>보아르모아s3200</t>
  </si>
  <si>
    <t>보아르모아M1000</t>
  </si>
  <si>
    <t>보아르파인F2000</t>
  </si>
  <si>
    <t>보아르모아M600</t>
  </si>
  <si>
    <t>보아르모아S1200</t>
  </si>
  <si>
    <t>오아이지탭램프</t>
  </si>
  <si>
    <t>오아블링-화이트</t>
  </si>
  <si>
    <t>오아볼드클락</t>
  </si>
  <si>
    <t>오아무드센서등</t>
  </si>
  <si>
    <t>오아무드스탠드</t>
  </si>
  <si>
    <t>오아플라이트-화이트</t>
  </si>
  <si>
    <t>오아듀얼랜턴걸이</t>
  </si>
  <si>
    <t>오아모던LED시계R</t>
  </si>
  <si>
    <t>오아모던LED시계S</t>
  </si>
  <si>
    <t>오아미케무드등</t>
  </si>
  <si>
    <t>오아우드led시계R</t>
  </si>
  <si>
    <t>오아우드led시계S</t>
  </si>
  <si>
    <t>오아럭스라이트</t>
  </si>
  <si>
    <t>오아무드워머-화이트</t>
  </si>
  <si>
    <t>오아디머무드등-화이트</t>
  </si>
  <si>
    <t>보아르꾸덕이지유청분리기</t>
  </si>
  <si>
    <t>보아르퓨어스텐</t>
  </si>
  <si>
    <t>보아르아가맘마쪽쪽이살균기</t>
  </si>
  <si>
    <t>보아르푸드클리너제로</t>
  </si>
  <si>
    <t>보아르아띠랑스클레어야채과일세척기</t>
  </si>
  <si>
    <t>보아르에이블나인제빙기-실버</t>
  </si>
  <si>
    <t>보아르에이블나인제빙기-블랙</t>
  </si>
  <si>
    <t>보아르아가맘마멀티분유포트</t>
  </si>
  <si>
    <t>보아르다이닝멀티찜기</t>
  </si>
  <si>
    <t>보아르아가맘마퓨어분유포트</t>
  </si>
  <si>
    <t>보아르더온리제로</t>
  </si>
  <si>
    <t>보아르이지전기포트S</t>
  </si>
  <si>
    <t>보아르웰빈두유제조기</t>
  </si>
  <si>
    <t>보아르다이닝토스트기</t>
  </si>
  <si>
    <t>보아르아가맘마보틀워머</t>
  </si>
  <si>
    <t>보아르혼요멀티쿠커-화이트</t>
  </si>
  <si>
    <t>보아르다이닝스텐전기포트</t>
  </si>
  <si>
    <t>보아르혼요전기밥솥</t>
  </si>
  <si>
    <t>보아르하루밀</t>
  </si>
  <si>
    <t>보아르에그팟</t>
  </si>
  <si>
    <t>보아르아띠랑스전기포트-베이지</t>
  </si>
  <si>
    <t>보아르아띠랑스전기포트-화이트</t>
  </si>
  <si>
    <t>보아르아띠랑스미니믹서기-베이지</t>
  </si>
  <si>
    <t>보아르하티포트</t>
  </si>
  <si>
    <t>보아르에이블듀얼오븐에어프라이어23L-실버</t>
  </si>
  <si>
    <t>오아클린프로</t>
  </si>
  <si>
    <t>오아클린벨-블랙</t>
  </si>
  <si>
    <t>오아클린듀얼</t>
  </si>
  <si>
    <t>오아클린건</t>
  </si>
  <si>
    <t>보아르스위프클링</t>
  </si>
  <si>
    <t>보아르포스W-블랙</t>
  </si>
  <si>
    <t>보아르컴포트클링</t>
  </si>
  <si>
    <t>보아르워터스핀E1-화이트</t>
  </si>
  <si>
    <t>보아르포스D14-화이트</t>
  </si>
  <si>
    <t>보아르포스D12-블랙</t>
  </si>
  <si>
    <t>보아르굿나잇클링-화이트</t>
  </si>
  <si>
    <t>보아르워시B-화이트</t>
  </si>
  <si>
    <t>오아클린스틱-블랙</t>
  </si>
  <si>
    <t>오아클린스틱-화이트</t>
  </si>
  <si>
    <t>오아무선에어건S-화이트</t>
  </si>
  <si>
    <t>보아르워터스핀B1-화이트</t>
  </si>
  <si>
    <t>보아르포스A</t>
  </si>
  <si>
    <t>보아르딥슬립클링</t>
  </si>
  <si>
    <t>보아르워시스핀C</t>
  </si>
  <si>
    <t>보아르워시스핀</t>
  </si>
  <si>
    <t>오아스마트체중계PRO</t>
  </si>
  <si>
    <t>오아아기체중계</t>
  </si>
  <si>
    <t>오아스마트체중계</t>
  </si>
  <si>
    <t>오아체중계</t>
  </si>
  <si>
    <t>오아ITO스마트체중계</t>
  </si>
  <si>
    <t>오아포그밍전기담요</t>
  </si>
  <si>
    <t>오아스퀘어온풍기</t>
  </si>
  <si>
    <t>오아라운드PTC히터</t>
  </si>
  <si>
    <t>보아르미니멀전기히터-그린</t>
  </si>
  <si>
    <t>보아르미니멀전기히터-화이트</t>
  </si>
  <si>
    <t>오아스퀘어미니발난로-베이지</t>
  </si>
  <si>
    <t>오아스퀘어미니발난로-화이트</t>
  </si>
  <si>
    <t>오아쏙핸디난로</t>
  </si>
  <si>
    <t>오아접이식블루투스키보드-블랙</t>
  </si>
  <si>
    <t>오아접이식블루투스키보드-화이트</t>
  </si>
  <si>
    <t>오아접이식블루투스키보드-메탈그레이</t>
  </si>
  <si>
    <t>오아홈텍트-화이트</t>
  </si>
  <si>
    <t>오아커버넥마사지기-베이지</t>
  </si>
  <si>
    <t>오아클린이베어칫솔모2p</t>
  </si>
  <si>
    <t>오아아이컬링-화이트</t>
  </si>
  <si>
    <t>오아모던미니LED시계-베이지</t>
  </si>
  <si>
    <t>오아모던미니알람시계-화이트</t>
  </si>
  <si>
    <t>오아보풀리-화이트</t>
  </si>
  <si>
    <t>오아에어리소닉드라이기-베이지</t>
  </si>
  <si>
    <t>오아버블풋접이식족욕기</t>
  </si>
  <si>
    <t>오아투게더헤드폰-아이보리</t>
  </si>
  <si>
    <t>오아투게더헤드폰-블랙</t>
  </si>
  <si>
    <t>오아라운드미니가습기-베이지</t>
  </si>
  <si>
    <t>오아플렌티에어워셔-아이보리</t>
  </si>
  <si>
    <t>오아플렌티에어워셔전용필터</t>
  </si>
  <si>
    <t>오아듀얼미스트무선가습기-카카오-베이지</t>
  </si>
  <si>
    <t>오아핸들폼-블랙</t>
  </si>
  <si>
    <t>오아볼록핸디난로-아이보리</t>
  </si>
  <si>
    <t>오아스퀘어에어워셔</t>
  </si>
  <si>
    <t>오아스퀘어에어워셔전용필터</t>
  </si>
  <si>
    <t>오아포그니발온열찜질기-다크그레이</t>
  </si>
  <si>
    <t>오아포그밍L전기담요-네이비</t>
  </si>
  <si>
    <t>오아그립인스마트체중계-화이트</t>
  </si>
  <si>
    <t>오아글라스팀가열식가습기-화이트</t>
  </si>
  <si>
    <t>보아르포스N25-화이트</t>
  </si>
  <si>
    <t>보아르투웨이텀블러-아이보리</t>
  </si>
  <si>
    <t>보아르투웨이텀블러-레인보우</t>
  </si>
  <si>
    <t>보아르투웨이텀블러-블랙</t>
  </si>
  <si>
    <t>오아클린이퓨어B-화이트</t>
  </si>
  <si>
    <t>오아멀티쉐이버-블랙</t>
  </si>
  <si>
    <t>보아르파워스핀-화이트</t>
  </si>
  <si>
    <t>오아홈큐리티-화이트</t>
  </si>
  <si>
    <t>보아르컴플릿D20L쓰레기통-베이지</t>
  </si>
  <si>
    <t>오아클리어렌즈세척기-아이보리</t>
  </si>
  <si>
    <t>오아오버스퀘어오방난로-화이트</t>
  </si>
  <si>
    <t>오아클린이워터P-화이트</t>
  </si>
  <si>
    <t>오아클린이워터P제트팁2p-화이트</t>
  </si>
  <si>
    <t>오아클린이워터P5종팁세트-화이트</t>
  </si>
  <si>
    <t>오아클린스톰-블랙</t>
  </si>
  <si>
    <t>오아클린스톰-먼지필터</t>
  </si>
  <si>
    <t>오아클린이포터블-화이트</t>
  </si>
  <si>
    <t>오아클린이큐어-포터블전용제트팁2P</t>
  </si>
  <si>
    <t>오아클린이워터J-화이트</t>
  </si>
  <si>
    <t>오아클린이워터전용제트팁2P-J</t>
  </si>
  <si>
    <t>오아굿슬립마사지기-베이지</t>
  </si>
  <si>
    <t>오아슬림에어드라이기-블랙</t>
  </si>
  <si>
    <t>오아덴티스윙-블랙</t>
  </si>
  <si>
    <t>오아덴티스윙-화이트</t>
  </si>
  <si>
    <t>오아퀵착M-블랙</t>
  </si>
  <si>
    <t>오아미니핸디청소기-화이트</t>
  </si>
  <si>
    <t>오아무선키보드콤보-블랙</t>
  </si>
  <si>
    <t>오아듀얼히팅뷰러-화이트</t>
  </si>
  <si>
    <t>오아볼륨업무선빗고데기-화이트</t>
  </si>
  <si>
    <t>오아롤링스팟-블랙</t>
  </si>
  <si>
    <t>오아냉온진동클렌저-베이지</t>
  </si>
  <si>
    <t>프로코드</t>
  </si>
  <si>
    <t>W0010</t>
  </si>
  <si>
    <t>H0191</t>
  </si>
  <si>
    <t>H0139</t>
  </si>
  <si>
    <t>H0140</t>
  </si>
  <si>
    <t>H0039</t>
  </si>
  <si>
    <t>H0126</t>
  </si>
  <si>
    <t>H0041</t>
  </si>
  <si>
    <t>H0207</t>
  </si>
  <si>
    <t>H0022</t>
  </si>
  <si>
    <t>H0220</t>
  </si>
  <si>
    <t>H0236</t>
  </si>
  <si>
    <t>H0217</t>
  </si>
  <si>
    <t>H0199</t>
  </si>
  <si>
    <t>H0083</t>
  </si>
  <si>
    <t>H0205</t>
  </si>
  <si>
    <t>H0066</t>
  </si>
  <si>
    <t>H0046</t>
  </si>
  <si>
    <t>H0198</t>
  </si>
  <si>
    <t>H0197</t>
  </si>
  <si>
    <t>H0243</t>
  </si>
  <si>
    <t>H0069</t>
  </si>
  <si>
    <t>A0048</t>
  </si>
  <si>
    <t>O0053</t>
  </si>
  <si>
    <t>T0009</t>
  </si>
  <si>
    <t>O0022</t>
  </si>
  <si>
    <t>O0018</t>
  </si>
  <si>
    <t>O0017</t>
  </si>
  <si>
    <t>O0021</t>
  </si>
  <si>
    <t>O0050</t>
  </si>
  <si>
    <t>O0049</t>
  </si>
  <si>
    <t>O0011</t>
  </si>
  <si>
    <t>O0009</t>
  </si>
  <si>
    <t>O0019</t>
  </si>
  <si>
    <t>T0002</t>
  </si>
  <si>
    <t>O0016</t>
  </si>
  <si>
    <t>O0015</t>
  </si>
  <si>
    <t>T0008</t>
  </si>
  <si>
    <t>O0027</t>
  </si>
  <si>
    <t>O0026</t>
  </si>
  <si>
    <t>O0024</t>
  </si>
  <si>
    <t>O0025</t>
  </si>
  <si>
    <t>O0051</t>
  </si>
  <si>
    <t>M00313</t>
  </si>
  <si>
    <t>A00201</t>
  </si>
  <si>
    <t>C0110</t>
  </si>
  <si>
    <t>C0182</t>
  </si>
  <si>
    <t>C0109</t>
  </si>
  <si>
    <t>B0125</t>
  </si>
  <si>
    <t>S0127</t>
  </si>
  <si>
    <t>C0463</t>
  </si>
  <si>
    <t>S0129</t>
  </si>
  <si>
    <t>C0399</t>
  </si>
  <si>
    <t>C0398</t>
  </si>
  <si>
    <t>C0459</t>
  </si>
  <si>
    <t>C0474</t>
  </si>
  <si>
    <t>P0061</t>
  </si>
  <si>
    <t>S0287</t>
  </si>
  <si>
    <t>E0239</t>
  </si>
  <si>
    <t>E0375</t>
  </si>
  <si>
    <t>U0001</t>
  </si>
  <si>
    <t>D0007</t>
  </si>
  <si>
    <t>I0002</t>
  </si>
  <si>
    <t>I0013</t>
  </si>
  <si>
    <t>A00231</t>
  </si>
  <si>
    <t>F0206</t>
  </si>
  <si>
    <t>F0238</t>
  </si>
  <si>
    <t>F0139</t>
  </si>
  <si>
    <t>F0205</t>
  </si>
  <si>
    <t>F0230</t>
  </si>
  <si>
    <t>F0236</t>
  </si>
  <si>
    <t>F0210</t>
  </si>
  <si>
    <t>F0235</t>
  </si>
  <si>
    <t>F0185</t>
  </si>
  <si>
    <t>F0201</t>
  </si>
  <si>
    <t>F0203</t>
  </si>
  <si>
    <t>F0237</t>
  </si>
  <si>
    <t>F0229</t>
  </si>
  <si>
    <t>F0231</t>
  </si>
  <si>
    <t>F0192</t>
  </si>
  <si>
    <t>F0186</t>
  </si>
  <si>
    <t>F0228</t>
  </si>
  <si>
    <t>F0212</t>
  </si>
  <si>
    <t>F0208</t>
  </si>
  <si>
    <t>F0209</t>
  </si>
  <si>
    <t>F0204</t>
  </si>
  <si>
    <t>F0199</t>
  </si>
  <si>
    <t>F0233</t>
  </si>
  <si>
    <t>F0232</t>
  </si>
  <si>
    <t>F0207</t>
  </si>
  <si>
    <t>F0211</t>
  </si>
  <si>
    <t>E0048</t>
  </si>
  <si>
    <t>E0135</t>
  </si>
  <si>
    <t>E0270</t>
  </si>
  <si>
    <t>E0195</t>
  </si>
  <si>
    <t>E0149</t>
  </si>
  <si>
    <t>A0065</t>
  </si>
  <si>
    <t>E0151</t>
  </si>
  <si>
    <t>E0091</t>
  </si>
  <si>
    <t>E0183</t>
  </si>
  <si>
    <t>E0155</t>
  </si>
  <si>
    <t>E0153</t>
  </si>
  <si>
    <t>E0154</t>
  </si>
  <si>
    <t>E0092</t>
  </si>
  <si>
    <t>E0233</t>
  </si>
  <si>
    <t>E0235</t>
  </si>
  <si>
    <t>E0221</t>
  </si>
  <si>
    <t>E0124</t>
  </si>
  <si>
    <t>E0307</t>
  </si>
  <si>
    <t>E0266</t>
  </si>
  <si>
    <t>E0132</t>
  </si>
  <si>
    <t>A0053</t>
  </si>
  <si>
    <t>E0246</t>
  </si>
  <si>
    <t>E0208</t>
  </si>
  <si>
    <t>E0369</t>
  </si>
  <si>
    <t>E0247</t>
  </si>
  <si>
    <t>A00298</t>
  </si>
  <si>
    <t>A00235</t>
  </si>
  <si>
    <t>M0157</t>
  </si>
  <si>
    <t>M0067</t>
  </si>
  <si>
    <t>M0161</t>
  </si>
  <si>
    <t>M0060</t>
  </si>
  <si>
    <t>M0023</t>
  </si>
  <si>
    <t>A00136</t>
  </si>
  <si>
    <t>M0044</t>
  </si>
  <si>
    <t>M0046</t>
  </si>
  <si>
    <t>M0027</t>
  </si>
  <si>
    <t>M0187</t>
  </si>
  <si>
    <t>M0054</t>
  </si>
  <si>
    <t>M0056</t>
  </si>
  <si>
    <t>M0126</t>
  </si>
  <si>
    <t>M0176</t>
  </si>
  <si>
    <t>Z0050</t>
  </si>
  <si>
    <t>M0098</t>
  </si>
  <si>
    <t>M0182</t>
  </si>
  <si>
    <t>M0089</t>
  </si>
  <si>
    <t>M0119</t>
  </si>
  <si>
    <t>M0043</t>
  </si>
  <si>
    <t>M0018</t>
  </si>
  <si>
    <t>M0061</t>
  </si>
  <si>
    <t>M0033</t>
  </si>
  <si>
    <t>M0045</t>
  </si>
  <si>
    <t>A00286</t>
  </si>
  <si>
    <t>F0147</t>
  </si>
  <si>
    <t>W0046</t>
  </si>
  <si>
    <t>E0383</t>
  </si>
  <si>
    <t>L0081</t>
  </si>
  <si>
    <t>T0012</t>
  </si>
  <si>
    <t>T0010</t>
  </si>
  <si>
    <t>P0058</t>
  </si>
  <si>
    <t>S0283</t>
  </si>
  <si>
    <t>S0077</t>
  </si>
  <si>
    <t>S0076</t>
  </si>
  <si>
    <t>S0258</t>
  </si>
  <si>
    <t>S0253</t>
  </si>
  <si>
    <t>S0248</t>
  </si>
  <si>
    <t>S0249</t>
  </si>
  <si>
    <t>S0257</t>
  </si>
  <si>
    <t>J0005</t>
  </si>
  <si>
    <t>S0264</t>
  </si>
  <si>
    <t>H0281</t>
  </si>
  <si>
    <t>A00214</t>
  </si>
  <si>
    <t>H0293</t>
  </si>
  <si>
    <t>H0170</t>
  </si>
  <si>
    <t>H0190</t>
  </si>
  <si>
    <t>H0249</t>
  </si>
  <si>
    <t>H0274</t>
  </si>
  <si>
    <t>H0201</t>
  </si>
  <si>
    <t>H0189</t>
  </si>
  <si>
    <t>H0056</t>
  </si>
  <si>
    <t>H0111</t>
  </si>
  <si>
    <t>H0065</t>
  </si>
  <si>
    <t>H0264</t>
  </si>
  <si>
    <t>H0202</t>
  </si>
  <si>
    <t>S0261</t>
  </si>
  <si>
    <t>H0164</t>
  </si>
  <si>
    <t>S0244</t>
  </si>
  <si>
    <t>B0066</t>
  </si>
  <si>
    <t>H0196</t>
  </si>
  <si>
    <t>H0195</t>
  </si>
  <si>
    <t>H0151</t>
  </si>
  <si>
    <t>H0150</t>
  </si>
  <si>
    <t>H0059</t>
  </si>
  <si>
    <t>H0153</t>
  </si>
  <si>
    <t>H0192</t>
  </si>
  <si>
    <t>B0068</t>
  </si>
  <si>
    <t>S0247</t>
  </si>
  <si>
    <t>H0188</t>
  </si>
  <si>
    <t>J0010</t>
  </si>
  <si>
    <t>H0206</t>
  </si>
  <si>
    <t>A0120</t>
  </si>
  <si>
    <t>A00040</t>
  </si>
  <si>
    <t>D0011</t>
  </si>
  <si>
    <t>D0009</t>
  </si>
  <si>
    <t>D0010</t>
  </si>
  <si>
    <t>D0077</t>
  </si>
  <si>
    <t>D0002</t>
  </si>
  <si>
    <t>D0001</t>
  </si>
  <si>
    <t>D0065</t>
  </si>
  <si>
    <t>L0065</t>
  </si>
  <si>
    <t>B0023</t>
  </si>
  <si>
    <t>C0454</t>
  </si>
  <si>
    <t>L0080</t>
  </si>
  <si>
    <t>L0082</t>
  </si>
  <si>
    <t>L0031</t>
  </si>
  <si>
    <t>E0414</t>
  </si>
  <si>
    <t>C0466</t>
  </si>
  <si>
    <t>C0467</t>
  </si>
  <si>
    <t>C0324</t>
  </si>
  <si>
    <t>C0325</t>
  </si>
  <si>
    <t>L0098</t>
  </si>
  <si>
    <t>L0083</t>
  </si>
  <si>
    <t>L0094</t>
  </si>
  <si>
    <t>E0420</t>
  </si>
  <si>
    <t>E0387</t>
  </si>
  <si>
    <t>S0262</t>
  </si>
  <si>
    <t>K0025</t>
  </si>
  <si>
    <t>P0052</t>
  </si>
  <si>
    <t>M0167</t>
  </si>
  <si>
    <t>P0059</t>
  </si>
  <si>
    <t>P0023</t>
  </si>
  <si>
    <t>P0066</t>
  </si>
  <si>
    <t>M0175</t>
  </si>
  <si>
    <t>D0069</t>
  </si>
  <si>
    <t>S0189</t>
  </si>
  <si>
    <t>K0010</t>
  </si>
  <si>
    <t>P0068</t>
  </si>
  <si>
    <t>K0029</t>
  </si>
  <si>
    <t>R0006</t>
  </si>
  <si>
    <t>M0171</t>
  </si>
  <si>
    <t>P0046</t>
  </si>
  <si>
    <t>P0044</t>
  </si>
  <si>
    <t>K0024</t>
  </si>
  <si>
    <t>K0009</t>
  </si>
  <si>
    <t>A01332</t>
  </si>
  <si>
    <t>C0456</t>
  </si>
  <si>
    <t>C0140</t>
  </si>
  <si>
    <t>C0175</t>
  </si>
  <si>
    <t>C0457</t>
  </si>
  <si>
    <t>A00047</t>
  </si>
  <si>
    <t>C0137</t>
  </si>
  <si>
    <t>C0404</t>
  </si>
  <si>
    <t>C0125</t>
  </si>
  <si>
    <t>C0146</t>
  </si>
  <si>
    <t>C0132</t>
  </si>
  <si>
    <t>C0157</t>
  </si>
  <si>
    <t>C0143</t>
  </si>
  <si>
    <t>C0115</t>
  </si>
  <si>
    <t>C0406</t>
  </si>
  <si>
    <t>C0130</t>
  </si>
  <si>
    <t>C0458</t>
  </si>
  <si>
    <t>C0145</t>
  </si>
  <si>
    <t>C0178</t>
  </si>
  <si>
    <t>C0177</t>
  </si>
  <si>
    <t>W0049</t>
  </si>
  <si>
    <t>W0050</t>
  </si>
  <si>
    <t>W0039</t>
  </si>
  <si>
    <t>W0040</t>
  </si>
  <si>
    <t>W0048</t>
  </si>
  <si>
    <t>B0116</t>
  </si>
  <si>
    <t>H0200</t>
  </si>
  <si>
    <t>H0215</t>
  </si>
  <si>
    <t>H0044</t>
  </si>
  <si>
    <t>H0037</t>
  </si>
  <si>
    <t>H0162</t>
  </si>
  <si>
    <t>K0001</t>
  </si>
  <si>
    <t>K0002</t>
  </si>
  <si>
    <t>A00296</t>
  </si>
  <si>
    <t>A00959</t>
  </si>
  <si>
    <t>E0218</t>
  </si>
  <si>
    <t>E0202</t>
  </si>
  <si>
    <t>A00138</t>
  </si>
  <si>
    <t>E0203</t>
  </si>
  <si>
    <t>A01116</t>
  </si>
  <si>
    <t>A00077</t>
  </si>
  <si>
    <t>A00292</t>
  </si>
  <si>
    <t>A01084</t>
  </si>
  <si>
    <t>M0160</t>
  </si>
  <si>
    <t>A00120</t>
  </si>
  <si>
    <t>A00121</t>
  </si>
  <si>
    <t>A01129</t>
  </si>
  <si>
    <t>A00300</t>
  </si>
  <si>
    <t>A01126</t>
  </si>
  <si>
    <t>H0163</t>
  </si>
  <si>
    <t>A00287</t>
  </si>
  <si>
    <t>A01092</t>
  </si>
  <si>
    <t>A00139</t>
  </si>
  <si>
    <t>A01094</t>
  </si>
  <si>
    <t>A00279</t>
  </si>
  <si>
    <t>A01100</t>
  </si>
  <si>
    <t>A00969</t>
  </si>
  <si>
    <t>A01287</t>
  </si>
  <si>
    <t>A00272</t>
  </si>
  <si>
    <t>E0446</t>
  </si>
  <si>
    <t>E0447</t>
  </si>
  <si>
    <t>E0442</t>
  </si>
  <si>
    <t>A00961</t>
  </si>
  <si>
    <t>A00291</t>
  </si>
  <si>
    <t>A00273</t>
  </si>
  <si>
    <t>A00137</t>
  </si>
  <si>
    <t>A01222</t>
  </si>
  <si>
    <t>A01098</t>
  </si>
  <si>
    <t>A00122</t>
  </si>
  <si>
    <t>A00293</t>
  </si>
  <si>
    <t>A00294</t>
  </si>
  <si>
    <t>A01124</t>
  </si>
  <si>
    <t>A01138</t>
  </si>
  <si>
    <t>A01217</t>
  </si>
  <si>
    <t>A01143</t>
  </si>
  <si>
    <t>E0205</t>
  </si>
  <si>
    <t>A01142</t>
  </si>
  <si>
    <t>A01432</t>
  </si>
  <si>
    <t>A01130</t>
  </si>
  <si>
    <t>A01146</t>
  </si>
  <si>
    <t>A01417</t>
  </si>
  <si>
    <t>A01333</t>
  </si>
  <si>
    <t>A01236</t>
  </si>
  <si>
    <t>A01354</t>
  </si>
  <si>
    <t>A01306</t>
  </si>
  <si>
    <t>A00967</t>
  </si>
  <si>
    <t>A01216</t>
  </si>
  <si>
    <t>A01395</t>
  </si>
  <si>
    <t>A01428</t>
  </si>
  <si>
    <t>skuid(입력란)</t>
    <phoneticPr fontId="2" type="noConversion"/>
  </si>
  <si>
    <t>수량(입력란)</t>
    <phoneticPr fontId="2" type="noConversion"/>
  </si>
  <si>
    <t>M0188</t>
  </si>
  <si>
    <t>H0034</t>
  </si>
  <si>
    <t>T0005</t>
  </si>
  <si>
    <t>H0134</t>
  </si>
  <si>
    <t>F0140</t>
  </si>
  <si>
    <t>M0064</t>
  </si>
  <si>
    <t>M0022</t>
  </si>
  <si>
    <t>M0162</t>
  </si>
  <si>
    <t>M0169</t>
  </si>
  <si>
    <t>M0155</t>
  </si>
  <si>
    <t>M0168</t>
  </si>
  <si>
    <t>S0271</t>
  </si>
  <si>
    <t>S0134</t>
  </si>
  <si>
    <t>J0001</t>
  </si>
  <si>
    <t>S0236</t>
  </si>
  <si>
    <t>D0024</t>
  </si>
  <si>
    <t>D0006</t>
  </si>
  <si>
    <t>L0093</t>
  </si>
  <si>
    <t>K0101</t>
  </si>
  <si>
    <t>S0188</t>
  </si>
  <si>
    <t>K0026</t>
  </si>
  <si>
    <t>C0116</t>
  </si>
  <si>
    <t>H0161</t>
  </si>
  <si>
    <t>H0218</t>
  </si>
  <si>
    <t>I0011</t>
  </si>
  <si>
    <t>매입가</t>
    <phoneticPr fontId="2" type="noConversion"/>
  </si>
  <si>
    <t>매입가(수식)</t>
    <phoneticPr fontId="2" type="noConversion"/>
  </si>
  <si>
    <t>옵션명(수식)</t>
    <phoneticPr fontId="2" type="noConversion"/>
  </si>
  <si>
    <t>제품명(수식)</t>
    <phoneticPr fontId="2" type="noConversion"/>
  </si>
  <si>
    <t>단가</t>
    <phoneticPr fontId="2" type="noConversion"/>
  </si>
  <si>
    <t>주문금액</t>
    <phoneticPr fontId="2" type="noConversion"/>
  </si>
  <si>
    <t>A01476</t>
  </si>
  <si>
    <t>A01592</t>
  </si>
  <si>
    <t>A01595</t>
  </si>
  <si>
    <t>A01593</t>
  </si>
  <si>
    <t>A01594</t>
  </si>
  <si>
    <t>오아포켓터-베이지</t>
  </si>
  <si>
    <t>A01488</t>
  </si>
  <si>
    <t>A01464</t>
  </si>
  <si>
    <t>오아UV렌즈세척기-아이보리</t>
  </si>
  <si>
    <t>A01405</t>
  </si>
  <si>
    <t>A01505</t>
  </si>
  <si>
    <t>A01451</t>
  </si>
  <si>
    <t>A01527</t>
  </si>
  <si>
    <t>A01567</t>
  </si>
  <si>
    <t>A01559</t>
  </si>
  <si>
    <t>A01608</t>
  </si>
  <si>
    <t>A01609</t>
  </si>
  <si>
    <t>A01646</t>
  </si>
  <si>
    <t>A0061</t>
  </si>
  <si>
    <t>E0158</t>
  </si>
  <si>
    <t>A01566</t>
  </si>
  <si>
    <t>A01665</t>
  </si>
  <si>
    <t>A01558</t>
  </si>
  <si>
    <t>A01542</t>
  </si>
  <si>
    <t>A01596</t>
  </si>
  <si>
    <t>A01597</t>
  </si>
  <si>
    <t>A01765</t>
  </si>
  <si>
    <t>A01672</t>
  </si>
  <si>
    <t>M00922</t>
  </si>
  <si>
    <t>보아르포스C-화이트</t>
  </si>
  <si>
    <t>A01694</t>
  </si>
  <si>
    <t>A01695</t>
  </si>
  <si>
    <t>A01719</t>
  </si>
  <si>
    <t>A01754</t>
  </si>
  <si>
    <t>A01427</t>
  </si>
  <si>
    <t>A01241</t>
  </si>
  <si>
    <t>A01350</t>
  </si>
  <si>
    <t>A01503</t>
  </si>
  <si>
    <t>A01675</t>
  </si>
  <si>
    <t>A01471</t>
  </si>
  <si>
    <t>A01461</t>
  </si>
  <si>
    <t>A01676</t>
  </si>
  <si>
    <t>A01485</t>
  </si>
  <si>
    <t>A01568</t>
  </si>
  <si>
    <t>A01708</t>
  </si>
  <si>
    <t>A01715</t>
  </si>
  <si>
    <t>M00884</t>
  </si>
  <si>
    <t>A01685</t>
  </si>
  <si>
    <t>A01910</t>
  </si>
  <si>
    <t>A01744</t>
  </si>
  <si>
    <t>오아아이스볼트-베이지</t>
  </si>
  <si>
    <t>오아아이스볼트맥스-베이지</t>
  </si>
  <si>
    <t>보아르폴더블휴대용전기포트-화이트</t>
  </si>
  <si>
    <t>오아제로버그-화이트</t>
  </si>
  <si>
    <t>보아르마일드에어-아이보리</t>
  </si>
  <si>
    <t>오아아쿠아필링기-화이트</t>
  </si>
  <si>
    <t>오아레트로탁상팬-베이지</t>
  </si>
  <si>
    <t>오아컴팩트쿨-화이트</t>
  </si>
  <si>
    <t>오아컴팩트쿨-블루</t>
  </si>
  <si>
    <t>보아르이지텀블렌더-아이보리</t>
  </si>
  <si>
    <t>오아쿨더마갈바닉-화이트</t>
  </si>
  <si>
    <t>보아르엘레어탁상형선풍기-화이트</t>
  </si>
  <si>
    <t>오아레트로핸디팬-베이지</t>
  </si>
  <si>
    <t>오아컬러젯-아이보리</t>
  </si>
  <si>
    <t>오아핸디썸-베이지</t>
  </si>
  <si>
    <t>오아핸디썸라이트-베이지</t>
  </si>
  <si>
    <t>오아라운드PRO선풍기-카키</t>
  </si>
  <si>
    <t>오아무선뿌리볼륨고데기5000-베이지</t>
  </si>
  <si>
    <t>오아다리마사지기-네이비</t>
  </si>
  <si>
    <t>보아르투웨이텀블러-민트</t>
  </si>
  <si>
    <t>보아르투웨이텀블러-핑크</t>
  </si>
  <si>
    <t>보아르모아S2000제습기-화이트</t>
  </si>
  <si>
    <t>보아르모아S2000제습기-블랙</t>
  </si>
  <si>
    <t>보아르컴플릿S미니건조기4kg-화이트</t>
  </si>
  <si>
    <t>보아르에어로센이동식에어컨-화이트</t>
  </si>
  <si>
    <t>오아클린이퓨어S-화이트</t>
  </si>
  <si>
    <t>오아무선고데기S-화이트</t>
  </si>
  <si>
    <t>오아폴드Qi2-블랙</t>
  </si>
  <si>
    <t>오아뷰티LED거울-화이트</t>
  </si>
  <si>
    <t>오아에어리스마트-화이트</t>
  </si>
  <si>
    <t>오아무빙볼마사지기-베이지</t>
  </si>
  <si>
    <t>보아르다이닝저당밥솥-아이보리</t>
  </si>
  <si>
    <t>보아르모노전기포트0.8L-화이트</t>
  </si>
  <si>
    <t>보아르모노전기포트1.5L-화이트</t>
  </si>
  <si>
    <t>보아르아가쑥쑥분유쉐이커-화이트</t>
  </si>
  <si>
    <t>오아에어셋2-블루</t>
  </si>
  <si>
    <t>오아에어셋2-아이보리</t>
  </si>
  <si>
    <t>오아몬스터M케이블-블랙</t>
  </si>
  <si>
    <t>오아윙즈스탠드-화이트</t>
  </si>
  <si>
    <t>A01220</t>
  </si>
  <si>
    <t>오아메가에어써큘레이터3-화이트</t>
  </si>
  <si>
    <t>오아메가에어탁상형써큘레이터3-화이트</t>
  </si>
  <si>
    <t>오아클린이스윙-블랙</t>
  </si>
  <si>
    <t>오아클린이스윙-화이트</t>
  </si>
  <si>
    <t>오아스윙바스-화이트</t>
  </si>
  <si>
    <t>A01311</t>
  </si>
  <si>
    <t>A01721</t>
  </si>
  <si>
    <t>A01722</t>
  </si>
  <si>
    <t>A01720</t>
  </si>
  <si>
    <t>A02017</t>
  </si>
  <si>
    <t>A01741</t>
  </si>
  <si>
    <t>A01681</t>
  </si>
  <si>
    <t>A01727</t>
  </si>
  <si>
    <t>오아큐브멀티탭PD35-베이지</t>
  </si>
  <si>
    <t>오아큐브멀티탭PD35-그린</t>
  </si>
  <si>
    <t>A01726</t>
  </si>
  <si>
    <t>A01815</t>
  </si>
  <si>
    <t>A01816</t>
  </si>
  <si>
    <t>A01869</t>
  </si>
  <si>
    <t>A01642</t>
  </si>
  <si>
    <t>A01898</t>
  </si>
  <si>
    <t>A01821</t>
  </si>
  <si>
    <t>A01588</t>
  </si>
  <si>
    <t>A01835</t>
  </si>
  <si>
    <t>A01819</t>
  </si>
  <si>
    <t>A01833</t>
  </si>
  <si>
    <t>A01834</t>
  </si>
  <si>
    <t>A01830</t>
  </si>
  <si>
    <t>A01831</t>
  </si>
  <si>
    <t>A01832</t>
  </si>
  <si>
    <t>A01924</t>
  </si>
  <si>
    <t>A01853</t>
  </si>
  <si>
    <t>A01913</t>
  </si>
  <si>
    <t>A01985</t>
  </si>
  <si>
    <t>A01986</t>
  </si>
  <si>
    <t>A01879</t>
  </si>
  <si>
    <t>A01878</t>
  </si>
  <si>
    <t>A01836</t>
  </si>
  <si>
    <t>오아캘린더LED벽시계-우드</t>
  </si>
  <si>
    <t>A01779</t>
  </si>
  <si>
    <t>A01964</t>
  </si>
  <si>
    <t>A01099</t>
  </si>
  <si>
    <t>A01883</t>
  </si>
  <si>
    <t>A01974</t>
  </si>
  <si>
    <t>A01584</t>
  </si>
  <si>
    <t>A01729</t>
  </si>
  <si>
    <t>A01728</t>
  </si>
  <si>
    <t>A02015</t>
  </si>
  <si>
    <t>A02199</t>
  </si>
  <si>
    <t>A01949</t>
  </si>
  <si>
    <t>A01950</t>
  </si>
  <si>
    <t>A02014</t>
  </si>
  <si>
    <t>A02048</t>
  </si>
  <si>
    <t>A02183</t>
  </si>
  <si>
    <t>A02184</t>
  </si>
  <si>
    <t>마진테이블
공급가</t>
    <phoneticPr fontId="2" type="noConversion"/>
  </si>
  <si>
    <t>매칭</t>
    <phoneticPr fontId="2" type="noConversion"/>
  </si>
  <si>
    <t>A02364</t>
  </si>
  <si>
    <t>A02363</t>
  </si>
  <si>
    <t>A02362</t>
  </si>
  <si>
    <t>A01730</t>
  </si>
  <si>
    <t>A02145</t>
  </si>
  <si>
    <t>A01615</t>
  </si>
  <si>
    <t>A01614</t>
  </si>
  <si>
    <t>A02065</t>
  </si>
  <si>
    <t>A02229</t>
  </si>
  <si>
    <t>A02013</t>
  </si>
  <si>
    <t>A02012</t>
  </si>
  <si>
    <t>A01780</t>
  </si>
  <si>
    <t>A02221</t>
  </si>
  <si>
    <t>A02309</t>
  </si>
  <si>
    <t>A02234</t>
  </si>
  <si>
    <t>A02233</t>
  </si>
  <si>
    <t>A02232</t>
  </si>
  <si>
    <t>A02132</t>
  </si>
  <si>
    <t>A02175</t>
  </si>
  <si>
    <t>A02176</t>
  </si>
  <si>
    <t>A02202</t>
  </si>
  <si>
    <t>A02385</t>
  </si>
  <si>
    <t>A02386</t>
  </si>
  <si>
    <t>A02387</t>
  </si>
  <si>
    <t>A02388</t>
  </si>
  <si>
    <t>오아베이직판고데기-퍼플</t>
  </si>
  <si>
    <t>오아베이직판고데기-블루</t>
  </si>
  <si>
    <t>A02442</t>
  </si>
  <si>
    <t>A02443</t>
  </si>
  <si>
    <t>SKU#</t>
  </si>
  <si>
    <t>1.써플라이어허브&gt;물류&gt;발주SKU리스트&gt;입고예정일&gt;오늘검색</t>
  </si>
  <si>
    <t>2.상품목록다운로드&gt;발주번호,skuid,확정수량&gt;다운로드</t>
  </si>
  <si>
    <t>3.발주번호별skuid와수량은왼쪽하늘색음영에붙혀넣기</t>
  </si>
  <si>
    <t>4.A~C열에skuid,전산명,프로코드백데이터만들어두었음</t>
  </si>
  <si>
    <t>5.발주양식sheet에주문상품,옵션명,수량은sku정보sheet에수식걸어두었음</t>
  </si>
  <si>
    <t>6.1+1또는세트구성상품은프로코드지웠음(발주나오면프로코드확인필요)</t>
  </si>
  <si>
    <t>7.상품목록다운로드에발주번호는발주제품구분하기위해서임</t>
  </si>
  <si>
    <t>8.위탁주문은기존처럼업체주문번호/매출처명/연락처/배송방식/물류창고등입력</t>
  </si>
  <si>
    <t>9.엑셀파일업로드하면상품목록자동입력됨(단가및프로코드확인요망)-최근전산오류</t>
  </si>
  <si>
    <t>10.엑셀파일업로드할때발주양식에입력된수량밑에0개수식걸린것들은모두지워주면됨</t>
  </si>
  <si>
    <t>11.매입가는마진테이블new기준임,1+1의경우프로코드공란이며매입가는맞음</t>
  </si>
  <si>
    <t>오아클린이소프트화이트+화이트</t>
  </si>
  <si>
    <t>오아클린이소프트블랙+블랙</t>
  </si>
  <si>
    <t>오아클린이소프트블랙+화이트</t>
  </si>
  <si>
    <t>오아클린이워터B+클린이소프트B화이트</t>
  </si>
  <si>
    <t>오아클린이워터B+클린이소프트B블랙</t>
  </si>
  <si>
    <t>오아클린이소프트+소프트칫솔모4p화이트</t>
  </si>
  <si>
    <t>오아클린이소프트+소프트칫솔모4p블랙</t>
  </si>
  <si>
    <t>오아클린이베어블루+핑크</t>
  </si>
  <si>
    <t>오아클린이소프트B+칫솔모2Px2화이트</t>
  </si>
  <si>
    <t>오아클린이소프트b블랙+칫솔모4p블랙</t>
  </si>
  <si>
    <t>오아클린이펭귄블루+클린이펭귄핑크</t>
  </si>
  <si>
    <t>보아르모아파워제습기6L/7L-공용-활성탄필터</t>
  </si>
  <si>
    <t>오아뮤즈B마이크-블랙</t>
  </si>
  <si>
    <t>보아르아가윈디유모차쿨시트-화이트</t>
  </si>
  <si>
    <t>보아르아가보틀휴대용분유포트-화이트</t>
  </si>
  <si>
    <t>보아르다이닝온전기포트-아이보리</t>
  </si>
  <si>
    <t>오아탭탭스피커-화이트</t>
  </si>
  <si>
    <t>오아탭탭스피커-옐로우</t>
  </si>
  <si>
    <t>보아르컴플릿10L쓰레기통-베이지</t>
  </si>
  <si>
    <t>보아르에이블비드블렌더-화이트</t>
  </si>
  <si>
    <t>보아르하티클링침구청소기-화이트</t>
  </si>
  <si>
    <t>보아르아가온분유포트-화이트</t>
  </si>
  <si>
    <t>오아버블디스펜서-화이트</t>
  </si>
  <si>
    <t>오아이지물결고데기-베이지</t>
  </si>
  <si>
    <t>오아젤디스펜서-화이트</t>
  </si>
  <si>
    <t>오아이지물결고데기-퍼플</t>
  </si>
  <si>
    <t>오아이지물결고데기-블루</t>
  </si>
  <si>
    <t>오아무선고데기-퍼플</t>
  </si>
  <si>
    <t>오아무선고데기-블루</t>
  </si>
  <si>
    <t>오아무선고데기-베이지</t>
  </si>
  <si>
    <t>오아오토고데기36MM-블루</t>
  </si>
  <si>
    <t>오아포인트클락-핑크</t>
  </si>
  <si>
    <t>오아굿슬립Pro-아이보리</t>
  </si>
  <si>
    <t>오아히트스팟S-블랙</t>
  </si>
  <si>
    <t>오아히트스팟S-베이지</t>
  </si>
  <si>
    <t>오아퀵듀오-베이지</t>
  </si>
  <si>
    <t>오아퀵롤-베이지</t>
  </si>
  <si>
    <t>보아르이지미니쿠커-아이보리</t>
  </si>
  <si>
    <t>보아르듀얼보풀쏙-아이보리</t>
  </si>
  <si>
    <t>보아르아가퓨어UV젖병소독기-화이트</t>
  </si>
  <si>
    <t>오아베이직빗고데기-블루</t>
  </si>
  <si>
    <t>오아심플리고데기-아이보리</t>
  </si>
  <si>
    <t>오아무선모던LED시계R-베이지</t>
  </si>
  <si>
    <t>오아쁘띠차저67W-화이트</t>
  </si>
  <si>
    <t>오아쁘띠차저35W-화이트</t>
  </si>
  <si>
    <t>보아르위셀음식물처리기</t>
  </si>
  <si>
    <t>오아듀얼히팅뷰러-핑크</t>
  </si>
  <si>
    <t>오아포그밍L코듀-라떼</t>
  </si>
  <si>
    <t>오아포그밍L와플-베이지</t>
  </si>
  <si>
    <t>보아르듀이아쿠아8L기화식가습기-화이트</t>
  </si>
  <si>
    <t>보아르더글라스가열식가습기-화이트</t>
  </si>
  <si>
    <t>보아르모노라운드히터-화이트</t>
  </si>
  <si>
    <t>보아르플라미오히터-아이보리</t>
  </si>
  <si>
    <t>오아듀얼미스트맥스-포그밀크</t>
  </si>
  <si>
    <t>오아듀얼미스트맥스-차콜스톤</t>
  </si>
  <si>
    <t>오아듀얼미스트맥스-클라우디블루</t>
  </si>
  <si>
    <t>오아쁘띠차저100W-화이트</t>
  </si>
  <si>
    <t>오아퓨어탱크-화이트</t>
  </si>
  <si>
    <t>오아렛츠플레이-블랙</t>
  </si>
  <si>
    <t>오아렛츠플레이-베이지</t>
  </si>
  <si>
    <t>오아포켓탭-베이지</t>
  </si>
  <si>
    <t>오아히트워머-핑크</t>
  </si>
  <si>
    <t>보아르듀얼히팅에어프라이어8L-블랙</t>
  </si>
  <si>
    <t>보아르듀얼히팅에어프라이어8L-화이트</t>
  </si>
  <si>
    <t>오아소닉플로우-베이지</t>
  </si>
  <si>
    <t>오아폴딩풋스파-화이트</t>
  </si>
  <si>
    <t>오아미니핏고데기-베이지</t>
  </si>
  <si>
    <t>오아미니핏고데기-블루</t>
  </si>
  <si>
    <t>오아미니핏고데기-핑크</t>
  </si>
  <si>
    <t>오아스톰젯-메탈그레이</t>
  </si>
  <si>
    <t>오아캔디핸디난로-민트</t>
  </si>
  <si>
    <t>오아캔디핸디난로-베이지</t>
  </si>
  <si>
    <t>오아볼트건-블랙</t>
  </si>
  <si>
    <t>오아플로비-에메랄드그린</t>
  </si>
  <si>
    <t>오아플로비-선샤인옐로우</t>
  </si>
  <si>
    <t>오아플로비-버블핑크</t>
  </si>
  <si>
    <t>오아플로비-피치오렌지</t>
  </si>
  <si>
    <t>오아크로멜무드등-블랙</t>
  </si>
  <si>
    <t>오아크로멜무드등-실버</t>
  </si>
  <si>
    <t>보아르웜시스타워형히터-화이트</t>
  </si>
  <si>
    <t>보아르모아파워제습기16L-활성탄필터</t>
  </si>
  <si>
    <t>오아어깨찜질기-다크그레이</t>
  </si>
  <si>
    <t>오아오토고데기32mm-베이지</t>
  </si>
  <si>
    <t>오아웨이스트레쳐-베이지</t>
  </si>
  <si>
    <t>오아뮤직씽크미니가습기-화이트</t>
  </si>
  <si>
    <t>A02166</t>
  </si>
  <si>
    <t>오아온열찜질기W-베이지</t>
  </si>
  <si>
    <t>A01748</t>
  </si>
  <si>
    <t>보아르에이블비드진공포장기-화이트</t>
  </si>
  <si>
    <t>오아촛불후스피커-핑크</t>
  </si>
  <si>
    <t>A01480</t>
  </si>
  <si>
    <t>M01550</t>
  </si>
  <si>
    <t>오아에어리미니-블루</t>
  </si>
  <si>
    <t>A02427</t>
  </si>
  <si>
    <t>오아포터블램프S-블랙</t>
  </si>
  <si>
    <t>A01521</t>
  </si>
  <si>
    <t>오아포터블램프H-블랙</t>
  </si>
  <si>
    <t>A01522</t>
  </si>
  <si>
    <t>H0001</t>
  </si>
  <si>
    <t>M01149</t>
  </si>
  <si>
    <t>M01150</t>
  </si>
  <si>
    <t>M01151</t>
  </si>
  <si>
    <t>M01152</t>
  </si>
  <si>
    <t>M01153</t>
  </si>
  <si>
    <t>M01154</t>
  </si>
  <si>
    <t>M01155</t>
  </si>
  <si>
    <t>오아라운드Pro선풍기-베이지</t>
  </si>
  <si>
    <t>M01148</t>
  </si>
  <si>
    <t>M01147</t>
  </si>
  <si>
    <t>M01145</t>
  </si>
  <si>
    <t>M01146</t>
  </si>
  <si>
    <t>오아베이직판고데기-베이지</t>
  </si>
  <si>
    <t>보아르터보스티머-아이보리</t>
  </si>
  <si>
    <t>오아에어링탁상팬-아이보리</t>
  </si>
  <si>
    <t>오아윈드볼트-베이지</t>
  </si>
  <si>
    <t>보아르미스팀클링-화이트</t>
  </si>
  <si>
    <t>A01120</t>
  </si>
  <si>
    <t>오아퀵롤차저65W-포그밀크</t>
  </si>
  <si>
    <t>오아퀵차지탱크-블랙</t>
  </si>
  <si>
    <t>A02568</t>
  </si>
  <si>
    <t>A02262</t>
  </si>
  <si>
    <t>오아제로터치바디트리머-화이트</t>
  </si>
  <si>
    <t>A02540</t>
  </si>
  <si>
    <t>조정요청완료</t>
    <phoneticPr fontId="2" type="noConversion"/>
  </si>
  <si>
    <t>오아넥스트레쳐S-베이지</t>
  </si>
  <si>
    <t>오아포켓롤-레몬크림</t>
  </si>
  <si>
    <t>오아포켓롤-모닝라벤더</t>
  </si>
  <si>
    <t>A02106</t>
    <phoneticPr fontId="2" type="noConversion"/>
  </si>
  <si>
    <t>A02629</t>
    <phoneticPr fontId="2" type="noConversion"/>
  </si>
  <si>
    <t>A02630</t>
    <phoneticPr fontId="2" type="noConversion"/>
  </si>
  <si>
    <t>오아프리온무선고데기-핑크</t>
  </si>
  <si>
    <t>A02459</t>
    <phoneticPr fontId="2" type="noConversion"/>
  </si>
  <si>
    <t>오아퀵롤차저65W-어비스블랙</t>
  </si>
  <si>
    <t>오아소닉플로우-핑크</t>
  </si>
  <si>
    <t>오아소닉플로우-그레이</t>
  </si>
  <si>
    <t>A02764</t>
  </si>
  <si>
    <t>A02587</t>
  </si>
  <si>
    <t>A02588</t>
  </si>
  <si>
    <t>오아젤디스펜서-실버</t>
  </si>
  <si>
    <t>오아퀵스트랩-샌드크림</t>
  </si>
  <si>
    <t>오아퀵스트랩-코튼핑크</t>
  </si>
  <si>
    <t>오아퀵스트랩-클라우디블루</t>
  </si>
  <si>
    <t>오아클린이퓨어Pro-클라우디블루</t>
  </si>
  <si>
    <t>오아클린이퓨어Pro-코튼핑크</t>
  </si>
  <si>
    <t>A02554</t>
  </si>
  <si>
    <t>A02626</t>
  </si>
  <si>
    <t>A02627</t>
  </si>
  <si>
    <t>A02628</t>
  </si>
  <si>
    <t>A02615</t>
  </si>
  <si>
    <t>A02616</t>
  </si>
  <si>
    <t>보아르모노커피그라인더-화이트</t>
  </si>
  <si>
    <t>A02299</t>
  </si>
  <si>
    <t>오아클린이워터B-UV-포그밀크</t>
  </si>
  <si>
    <t>오아클린이워터B-UV-차콜스톤</t>
  </si>
  <si>
    <t>오아클린이워터B-UV-클라우디블루</t>
  </si>
  <si>
    <t>보아르비드틱S-블랙</t>
  </si>
  <si>
    <t>오아큐브멀티탭PD35-클라우디블루</t>
  </si>
  <si>
    <t>오아몬스터M케이블-비타오렌지</t>
  </si>
  <si>
    <t>A02623</t>
  </si>
  <si>
    <t>A02624</t>
  </si>
  <si>
    <t>A02625</t>
  </si>
  <si>
    <t>A02218</t>
  </si>
  <si>
    <t>A02796</t>
  </si>
  <si>
    <t>A02767</t>
  </si>
  <si>
    <t>A02287</t>
    <phoneticPr fontId="2" type="noConversion"/>
  </si>
  <si>
    <t>A02288</t>
    <phoneticPr fontId="2" type="noConversion"/>
  </si>
  <si>
    <t>오아퀵맥-실버</t>
  </si>
  <si>
    <t>오아퀵맥-메탈그레이</t>
  </si>
  <si>
    <t>보아르이지업텀블렌더-아이보리</t>
  </si>
  <si>
    <t>오아데이지오토고데기-아이보리</t>
  </si>
  <si>
    <t>A02631</t>
  </si>
  <si>
    <t>A02632</t>
  </si>
  <si>
    <t>A02678</t>
  </si>
  <si>
    <t>A01939</t>
  </si>
  <si>
    <t>오아렛츠플레이핏-베이지</t>
  </si>
  <si>
    <t>오아렛츠플레이핏-블랙</t>
  </si>
  <si>
    <t>A02566</t>
    <phoneticPr fontId="2" type="noConversion"/>
  </si>
  <si>
    <t>A02565</t>
    <phoneticPr fontId="2" type="noConversion"/>
  </si>
  <si>
    <t>오아데이클락-베이지</t>
  </si>
  <si>
    <t>오아보이스팬-포그밀크</t>
  </si>
  <si>
    <t>A02991</t>
  </si>
  <si>
    <t>M01628</t>
  </si>
  <si>
    <t>오아아이스볼트미스트-포그밀크</t>
  </si>
  <si>
    <t>오아아이스넥밴드선풍기-포그밀크</t>
  </si>
  <si>
    <t>A02961</t>
  </si>
  <si>
    <t>A02896</t>
  </si>
  <si>
    <t>오아클린이워터전용제트팁2P-(B/B-UV/D/F/Z)</t>
  </si>
  <si>
    <t>오아클린이워터전용5종팁세트-(B/B-UV/D/F/Z)</t>
  </si>
  <si>
    <t>오아베이직선풍기-샌드크림</t>
  </si>
  <si>
    <t>오아아이스볼트폴드-포그밀크</t>
  </si>
  <si>
    <t>오아메가에어라이트-샌드크림</t>
  </si>
  <si>
    <t>오아클린이퓨어Pro-화이트</t>
    <phoneticPr fontId="2" type="noConversion"/>
  </si>
  <si>
    <t>A02834</t>
  </si>
  <si>
    <t>A02962</t>
  </si>
  <si>
    <t>A02897</t>
  </si>
  <si>
    <t>오아뿌리볼륨고데기-블랙</t>
    <phoneticPr fontId="2" type="noConversion"/>
  </si>
  <si>
    <t>오아바디팬맥스-포그밀크</t>
  </si>
  <si>
    <t>보아르퓨어링공기청정선풍기-화이트</t>
  </si>
  <si>
    <t>A03004</t>
    <phoneticPr fontId="2" type="noConversion"/>
  </si>
  <si>
    <t>A02002</t>
    <phoneticPr fontId="2" type="noConversion"/>
  </si>
  <si>
    <t>오아라운드핸디맥스-코지피치</t>
  </si>
  <si>
    <t>오아라운드핸디맥스-클라우디블루</t>
  </si>
  <si>
    <t>오아라운드핸디맥스-포그밀크</t>
  </si>
  <si>
    <t>보아르워터클링무선습식청소기-화이트</t>
  </si>
  <si>
    <t>A02881</t>
  </si>
  <si>
    <t>A02882</t>
  </si>
  <si>
    <t>A02883</t>
  </si>
  <si>
    <t>A02485</t>
  </si>
  <si>
    <t>오아에어쿨핸디맥스-코튼핑크</t>
  </si>
  <si>
    <t>오아에어쿨핸디맥스-포그밀크</t>
  </si>
  <si>
    <t>오아컴팩트쿨맥스-클라우디블루</t>
  </si>
  <si>
    <t>오아컴팩트쿨맥스-포그밀크</t>
  </si>
  <si>
    <t>오아클린이스윙P-어비스블랙</t>
  </si>
  <si>
    <t>오아클린이스윙P-포그밀크</t>
  </si>
  <si>
    <t>A02884</t>
  </si>
  <si>
    <t>A02885</t>
  </si>
  <si>
    <t>A02880</t>
  </si>
  <si>
    <t>A02913</t>
  </si>
  <si>
    <t>A02862</t>
  </si>
  <si>
    <t>A02863</t>
  </si>
  <si>
    <t>오아오마컬봉고데기40mm-핑크</t>
  </si>
  <si>
    <t>오아오마컬봉고데기36mm-핑크</t>
  </si>
  <si>
    <t>A02800</t>
  </si>
  <si>
    <t>A02801</t>
  </si>
  <si>
    <t>보아르투웨이폴든텀블러-핑크</t>
  </si>
  <si>
    <t>보아르투웨이폴든텀블러-민트</t>
  </si>
  <si>
    <t>보아르투웨이폴든텀블러-아이보리</t>
  </si>
  <si>
    <t>A02700</t>
  </si>
  <si>
    <t>A02701</t>
  </si>
  <si>
    <t>A02702</t>
  </si>
  <si>
    <t>오아퀵터보-포그밀크</t>
  </si>
  <si>
    <t>오아클린이워터J2-포그밀크</t>
  </si>
  <si>
    <t>A02875</t>
  </si>
  <si>
    <t>A02754</t>
  </si>
  <si>
    <t>오아베이직빗고데기(FV)-베이지</t>
  </si>
  <si>
    <t>A02798</t>
    <phoneticPr fontId="2" type="noConversion"/>
  </si>
  <si>
    <t>오아워터쉴드넥-어비스블랙</t>
  </si>
  <si>
    <t>오아워터쉴드넥-클라우디블루</t>
  </si>
  <si>
    <t>오아워터쉴드넥-포그밀크</t>
  </si>
  <si>
    <t>오아워터쉴드크로스-어비스블랙</t>
  </si>
  <si>
    <t>오아워터쉴드크로스-투명</t>
  </si>
  <si>
    <t>보아르이지전기포트M1(FV)-아이보리</t>
  </si>
  <si>
    <t>A03161</t>
  </si>
  <si>
    <t>A03157</t>
  </si>
  <si>
    <t>A03160</t>
  </si>
  <si>
    <t>A03158</t>
  </si>
  <si>
    <t>A03159</t>
  </si>
  <si>
    <t>A03029</t>
  </si>
  <si>
    <t>보아르이지전기포트C(FV)-아이보리</t>
  </si>
  <si>
    <t>A03042</t>
  </si>
  <si>
    <t>보아르이지전기포트M1(FV)-그레이</t>
  </si>
  <si>
    <t>A03030</t>
  </si>
  <si>
    <t>보아르엘레어pro선풍기-화이트</t>
  </si>
  <si>
    <t>A03058</t>
  </si>
  <si>
    <t>오아클린이워터J3-포그밀크</t>
  </si>
  <si>
    <t>A02753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</si>
</sst>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b/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EA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9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/>
    <xf numFmtId="0" fontId="3" fillId="5" borderId="0" xfId="0" applyFont="1" applyFill="1" applyAlignment="1">
      <alignment horizontal="right" vertical="center" wrapText="1"/>
    </xf>
    <xf numFmtId="0" fontId="0" fillId="0" borderId="0" xfId="0" applyAlignment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4" fillId="6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2" borderId="1" xfId="0" applyFont="1" applyFill="1" applyBorder="1" applyAlignment="1">
      <alignment vertical="center" wrapText="1"/>
    </xf>
    <xf numFmtId="41" fontId="7" fillId="0" borderId="1" xfId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41" fontId="8" fillId="0" borderId="0" xfId="1" applyFont="1" applyFill="1">
      <alignment vertical="center"/>
    </xf>
    <xf numFmtId="0" fontId="8" fillId="0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0" fillId="6" borderId="0" xfId="0" applyFill="1">
      <alignment vertical="center"/>
    </xf>
    <xf numFmtId="41" fontId="8" fillId="0" borderId="1" xfId="1" applyFont="1" applyFill="1" applyBorder="1" applyAlignment="1">
      <alignment vertical="center"/>
    </xf>
    <xf numFmtId="41" fontId="8" fillId="6" borderId="1" xfId="1" applyFont="1" applyFill="1" applyBorder="1" applyAlignment="1">
      <alignment vertical="center"/>
    </xf>
    <xf numFmtId="41" fontId="8" fillId="0" borderId="1" xfId="1" applyFont="1" applyFill="1" applyBorder="1" applyAlignment="1">
      <alignment horizontal="right" vertical="center"/>
    </xf>
    <xf numFmtId="41" fontId="8" fillId="0" borderId="1" xfId="1" applyFont="1" applyFill="1" applyBorder="1">
      <alignment vertical="center"/>
    </xf>
    <xf numFmtId="0" fontId="0" fillId="0" borderId="0" xfId="0" applyFill="1">
      <alignment vertical="center"/>
    </xf>
    <xf numFmtId="0" fontId="8" fillId="2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</cellXfs>
  <cellStyles count="2">
    <cellStyle name="쉼표 [0]" xfId="1" builtinId="6"/>
    <cellStyle name="표준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C19" sqref="C19"/>
    </sheetView>
  </sheetViews>
  <sheetFormatPr defaultRowHeight="16.5" x14ac:dyDescent="0.3"/>
  <cols>
    <col min="1" max="1" width="42.625" bestFit="1" customWidth="1"/>
    <col min="4" max="4" width="20.125" bestFit="1" customWidth="1"/>
    <col min="5" max="5" width="14.375" bestFit="1" customWidth="1"/>
    <col min="7" max="7" width="54.125" bestFit="1" customWidth="1"/>
  </cols>
  <sheetData>
    <row r="1" spans="1:11" x14ac:dyDescent="0.3">
      <c r="A1" s="9" t="s">
        <v>0</v>
      </c>
      <c r="B1" s="9" t="s">
        <v>1</v>
      </c>
      <c r="C1" s="9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1" t="s">
        <v>2</v>
      </c>
      <c r="I1" s="1" t="s">
        <v>3</v>
      </c>
      <c r="J1" s="9" t="s">
        <v>723</v>
      </c>
      <c r="K1" s="9" t="s">
        <v>724</v>
      </c>
    </row>
    <row r="2" spans="1:11" x14ac:dyDescent="0.3">
      <c r="A2" t="str">
        <f>'sku 정보'!$G2</f>
        <v>오아커버넥마사지기-베이지</v>
      </c>
      <c r="B2" s="3" t="str">
        <f>'sku 정보'!$H2</f>
        <v>A00959</v>
      </c>
      <c r="C2">
        <f>'sku 정보'!$I2</f>
        <v>9</v>
      </c>
      <c r="D2" t="s">
        <v>6</v>
      </c>
      <c r="E2" t="s">
        <v>7</v>
      </c>
      <c r="F2">
        <v>37876</v>
      </c>
      <c r="G2" t="s">
        <v>10</v>
      </c>
      <c r="J2">
        <f>'sku 정보'!$J2</f>
        <v>58826</v>
      </c>
      <c r="K2">
        <f>$J2*$C2</f>
        <v>529434</v>
      </c>
    </row>
    <row r="3" spans="1:11" x14ac:dyDescent="0.3">
      <c r="A3" t="str">
        <f>'sku 정보'!$G3</f>
        <v>보아르스위프클링전용필터</v>
      </c>
      <c r="B3" s="3" t="str">
        <f>'sku 정보'!$H3</f>
        <v>M00313</v>
      </c>
      <c r="C3">
        <f>'sku 정보'!$I3</f>
        <v>10</v>
      </c>
      <c r="D3" t="s">
        <v>6</v>
      </c>
      <c r="E3" t="s">
        <v>7</v>
      </c>
      <c r="F3">
        <v>37876</v>
      </c>
      <c r="G3" t="s">
        <v>10</v>
      </c>
      <c r="J3">
        <f>'sku 정보'!$J3</f>
        <v>3283</v>
      </c>
      <c r="K3">
        <f t="shared" ref="K3:K17" si="0">$J3*$C3</f>
        <v>32830</v>
      </c>
    </row>
    <row r="4" spans="1:11" x14ac:dyDescent="0.3">
      <c r="A4" t="str">
        <f>'sku 정보'!$G4</f>
        <v>오아슬림에어드라이기-블랙</v>
      </c>
      <c r="B4" s="3" t="str">
        <f>'sku 정보'!$H4</f>
        <v>A01146</v>
      </c>
      <c r="C4">
        <f>'sku 정보'!$I4</f>
        <v>7</v>
      </c>
      <c r="D4" t="s">
        <v>6</v>
      </c>
      <c r="E4" t="s">
        <v>7</v>
      </c>
      <c r="F4">
        <v>37876</v>
      </c>
      <c r="G4" t="s">
        <v>10</v>
      </c>
      <c r="J4">
        <f>'sku 정보'!$J4</f>
        <v>39396</v>
      </c>
      <c r="K4">
        <f t="shared" si="0"/>
        <v>275772</v>
      </c>
    </row>
    <row r="5" spans="1:11" x14ac:dyDescent="0.3">
      <c r="A5" t="str">
        <f>'sku 정보'!$G5</f>
        <v>오아아이스볼트맥스-베이지</v>
      </c>
      <c r="B5" s="3" t="str">
        <f>'sku 정보'!$H5</f>
        <v>A01593</v>
      </c>
      <c r="C5">
        <f>'sku 정보'!$I5</f>
        <v>26</v>
      </c>
      <c r="D5" t="s">
        <v>6</v>
      </c>
      <c r="E5" t="s">
        <v>7</v>
      </c>
      <c r="F5">
        <v>37876</v>
      </c>
      <c r="G5" t="s">
        <v>10</v>
      </c>
      <c r="J5">
        <f>'sku 정보'!$J5</f>
        <v>19966</v>
      </c>
      <c r="K5">
        <f t="shared" si="0"/>
        <v>519116</v>
      </c>
    </row>
    <row r="6" spans="1:11" x14ac:dyDescent="0.3">
      <c r="A6" t="str">
        <f>'sku 정보'!$G6</f>
        <v>오아무선뿌리볼륨고데기5000-베이지</v>
      </c>
      <c r="B6" s="3" t="str">
        <f>'sku 정보'!$H6</f>
        <v>A01672</v>
      </c>
      <c r="C6">
        <f>'sku 정보'!$I6</f>
        <v>117</v>
      </c>
      <c r="D6" t="s">
        <v>6</v>
      </c>
      <c r="E6" t="s">
        <v>7</v>
      </c>
      <c r="F6">
        <v>37876</v>
      </c>
      <c r="G6" t="s">
        <v>10</v>
      </c>
      <c r="J6">
        <f>'sku 정보'!$J6</f>
        <v>26733</v>
      </c>
      <c r="K6">
        <f t="shared" si="0"/>
        <v>3127761</v>
      </c>
    </row>
    <row r="7" spans="1:11" x14ac:dyDescent="0.3">
      <c r="A7" t="str">
        <f>'sku 정보'!$G7</f>
        <v>오아폴드Qi2-블랙</v>
      </c>
      <c r="B7" s="3" t="str">
        <f>'sku 정보'!$H7</f>
        <v>A01471</v>
      </c>
      <c r="C7">
        <f>'sku 정보'!$I7</f>
        <v>14</v>
      </c>
      <c r="D7" t="s">
        <v>6</v>
      </c>
      <c r="E7" t="s">
        <v>7</v>
      </c>
      <c r="F7">
        <v>37876</v>
      </c>
      <c r="G7" t="s">
        <v>10</v>
      </c>
      <c r="J7">
        <f>'sku 정보'!$J7</f>
        <v>32830</v>
      </c>
      <c r="K7">
        <f t="shared" si="0"/>
        <v>459620</v>
      </c>
    </row>
    <row r="8" spans="1:11" x14ac:dyDescent="0.3">
      <c r="A8" t="str">
        <f>'sku 정보'!$G8</f>
        <v>오아에어리스마트-화이트</v>
      </c>
      <c r="B8" s="3" t="str">
        <f>'sku 정보'!$H8</f>
        <v>A01676</v>
      </c>
      <c r="C8">
        <f>'sku 정보'!$I8</f>
        <v>24</v>
      </c>
      <c r="D8" t="s">
        <v>6</v>
      </c>
      <c r="E8" t="s">
        <v>7</v>
      </c>
      <c r="F8">
        <v>37876</v>
      </c>
      <c r="G8" t="s">
        <v>10</v>
      </c>
      <c r="J8">
        <f>'sku 정보'!$J8</f>
        <v>58960</v>
      </c>
      <c r="K8">
        <f t="shared" si="0"/>
        <v>1415040</v>
      </c>
    </row>
    <row r="9" spans="1:11" x14ac:dyDescent="0.3">
      <c r="A9" t="str">
        <f>'sku 정보'!$G9</f>
        <v>오아이지물결고데기-블루</v>
      </c>
      <c r="B9" s="3" t="str">
        <f>'sku 정보'!$H9</f>
        <v>A01834</v>
      </c>
      <c r="C9">
        <f>'sku 정보'!$I9</f>
        <v>50</v>
      </c>
      <c r="D9" t="s">
        <v>6</v>
      </c>
      <c r="E9" t="s">
        <v>7</v>
      </c>
      <c r="F9">
        <v>37876</v>
      </c>
      <c r="G9" t="s">
        <v>10</v>
      </c>
      <c r="J9">
        <f>'sku 정보'!$J9</f>
        <v>30016</v>
      </c>
      <c r="K9">
        <f t="shared" si="0"/>
        <v>1500800</v>
      </c>
    </row>
    <row r="10" spans="1:11" x14ac:dyDescent="0.3">
      <c r="A10" t="str">
        <f>'sku 정보'!$G10</f>
        <v>오아심플리고데기-아이보리</v>
      </c>
      <c r="B10" s="3" t="str">
        <f>'sku 정보'!$H10</f>
        <v>A01974</v>
      </c>
      <c r="C10">
        <f>'sku 정보'!$I10</f>
        <v>26</v>
      </c>
      <c r="D10" t="s">
        <v>6</v>
      </c>
      <c r="E10" t="s">
        <v>7</v>
      </c>
      <c r="F10">
        <v>37876</v>
      </c>
      <c r="G10" t="s">
        <v>10</v>
      </c>
      <c r="J10">
        <f>'sku 정보'!$J10</f>
        <v>18693</v>
      </c>
      <c r="K10">
        <f t="shared" si="0"/>
        <v>486018</v>
      </c>
    </row>
    <row r="11" spans="1:11" x14ac:dyDescent="0.3">
      <c r="A11" t="str">
        <f>'sku 정보'!$G11</f>
        <v>보아르위셀음식물처리기</v>
      </c>
      <c r="B11" s="3" t="str">
        <f>'sku 정보'!$H11</f>
        <v>A02015</v>
      </c>
      <c r="C11">
        <f>'sku 정보'!$I11</f>
        <v>11</v>
      </c>
      <c r="D11" t="s">
        <v>6</v>
      </c>
      <c r="E11" t="s">
        <v>7</v>
      </c>
      <c r="F11">
        <v>37876</v>
      </c>
      <c r="G11" t="s">
        <v>10</v>
      </c>
      <c r="J11">
        <f>'sku 정보'!$J11</f>
        <v>213060</v>
      </c>
      <c r="K11">
        <f t="shared" si="0"/>
        <v>2343660</v>
      </c>
    </row>
    <row r="12" spans="1:11" x14ac:dyDescent="0.3">
      <c r="A12" t="str">
        <f>'sku 정보'!$G12</f>
        <v>오아듀얼미스트맥스-클라우디블루</v>
      </c>
      <c r="B12" s="3" t="str">
        <f>'sku 정보'!$H12</f>
        <v>A02362</v>
      </c>
      <c r="C12">
        <f>'sku 정보'!$I12</f>
        <v>8</v>
      </c>
      <c r="D12" t="s">
        <v>6</v>
      </c>
      <c r="E12" t="s">
        <v>7</v>
      </c>
      <c r="F12">
        <v>37876</v>
      </c>
      <c r="G12" t="s">
        <v>10</v>
      </c>
      <c r="J12">
        <f>'sku 정보'!$J12</f>
        <v>23383</v>
      </c>
      <c r="K12">
        <f t="shared" si="0"/>
        <v>187064</v>
      </c>
    </row>
    <row r="13" spans="1:11" x14ac:dyDescent="0.3">
      <c r="A13" t="str">
        <f>'sku 정보'!$G13</f>
        <v>오아히트워머-핑크</v>
      </c>
      <c r="B13" s="3" t="str">
        <f>'sku 정보'!$H13</f>
        <v>A02229</v>
      </c>
      <c r="C13">
        <f>'sku 정보'!$I13</f>
        <v>27</v>
      </c>
      <c r="D13" t="s">
        <v>6</v>
      </c>
      <c r="E13" t="s">
        <v>7</v>
      </c>
      <c r="F13">
        <v>37876</v>
      </c>
      <c r="G13" t="s">
        <v>10</v>
      </c>
      <c r="J13">
        <f>'sku 정보'!$J13</f>
        <v>21976</v>
      </c>
      <c r="K13">
        <f t="shared" si="0"/>
        <v>593352</v>
      </c>
    </row>
    <row r="14" spans="1:11" x14ac:dyDescent="0.3">
      <c r="A14" t="str">
        <f>'sku 정보'!$G14</f>
        <v>오아미니핏고데기-베이지</v>
      </c>
      <c r="B14" s="3" t="str">
        <f>'sku 정보'!$H14</f>
        <v>A02234</v>
      </c>
      <c r="C14">
        <f>'sku 정보'!$I14</f>
        <v>8</v>
      </c>
      <c r="D14" t="s">
        <v>6</v>
      </c>
      <c r="E14" t="s">
        <v>7</v>
      </c>
      <c r="F14">
        <v>37876</v>
      </c>
      <c r="G14" t="s">
        <v>10</v>
      </c>
      <c r="J14">
        <f>'sku 정보'!$J14</f>
        <v>17353</v>
      </c>
      <c r="K14">
        <f t="shared" si="0"/>
        <v>138824</v>
      </c>
    </row>
    <row r="15" spans="1:11" x14ac:dyDescent="0.3">
      <c r="A15" t="str">
        <f>'sku 정보'!$G15</f>
        <v>오아프리온무선고데기-핑크</v>
      </c>
      <c r="B15" s="3" t="str">
        <f>'sku 정보'!$H15</f>
        <v>A02459</v>
      </c>
      <c r="C15">
        <f>'sku 정보'!$I15</f>
        <v>133</v>
      </c>
      <c r="D15" t="s">
        <v>6</v>
      </c>
      <c r="E15" t="s">
        <v>7</v>
      </c>
      <c r="F15">
        <v>37876</v>
      </c>
      <c r="G15" t="s">
        <v>10</v>
      </c>
      <c r="J15">
        <f>'sku 정보'!$J15</f>
        <v>33433</v>
      </c>
      <c r="K15">
        <f t="shared" si="0"/>
        <v>4446589</v>
      </c>
    </row>
    <row r="16" spans="1:11" x14ac:dyDescent="0.3">
      <c r="A16" t="str">
        <f>'sku 정보'!$G16</f>
        <v>오아효도손마사지기-블랙</v>
      </c>
      <c r="B16" s="3" t="str">
        <f>'sku 정보'!$H16</f>
        <v>A00298</v>
      </c>
      <c r="C16">
        <f>'sku 정보'!$I16</f>
        <v>12</v>
      </c>
      <c r="D16" t="s">
        <v>6</v>
      </c>
      <c r="E16" t="s">
        <v>7</v>
      </c>
      <c r="F16">
        <v>37876</v>
      </c>
      <c r="G16" t="s">
        <v>10</v>
      </c>
      <c r="J16">
        <f>'sku 정보'!$J16</f>
        <v>40066</v>
      </c>
      <c r="K16">
        <f t="shared" si="0"/>
        <v>480792</v>
      </c>
    </row>
    <row r="17" spans="1:11" x14ac:dyDescent="0.3">
      <c r="A17" t="str">
        <f>'sku 정보'!$G17</f>
        <v>오아클린이스윙P-어비스블랙</v>
      </c>
      <c r="B17" s="3" t="str">
        <f>'sku 정보'!$H17</f>
        <v>A02862</v>
      </c>
      <c r="C17">
        <f>'sku 정보'!$I17</f>
        <v>54</v>
      </c>
      <c r="D17" t="s">
        <v>6</v>
      </c>
      <c r="E17" t="s">
        <v>7</v>
      </c>
      <c r="F17">
        <v>37876</v>
      </c>
      <c r="G17" t="s">
        <v>10</v>
      </c>
      <c r="J17">
        <f>'sku 정보'!$J17</f>
        <v>30016</v>
      </c>
      <c r="K17">
        <f t="shared" si="0"/>
        <v>1620864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9"/>
  <sheetViews>
    <sheetView tabSelected="1" topLeftCell="A545" workbookViewId="0">
      <selection activeCell="B560" sqref="B560"/>
    </sheetView>
  </sheetViews>
  <sheetFormatPr defaultRowHeight="16.5" x14ac:dyDescent="0.3"/>
  <cols>
    <col min="1" max="1" width="9.375" style="29" bestFit="1" customWidth="1"/>
    <col min="2" max="2" width="33.125" style="29" customWidth="1"/>
    <col min="3" max="3" width="9" style="29"/>
    <col min="4" max="4" width="10.25" style="30" bestFit="1" customWidth="1"/>
    <col min="5" max="5" width="2.375" customWidth="1"/>
    <col min="6" max="6" width="13.125" bestFit="1" customWidth="1"/>
    <col min="7" max="7" width="27" bestFit="1" customWidth="1"/>
    <col min="8" max="10" width="12.375" bestFit="1" customWidth="1"/>
    <col min="12" max="12" width="10" customWidth="1"/>
  </cols>
  <sheetData>
    <row r="1" spans="1:14" ht="33" x14ac:dyDescent="0.3">
      <c r="A1" s="10" t="s">
        <v>901</v>
      </c>
      <c r="B1" s="10" t="s">
        <v>27</v>
      </c>
      <c r="C1" s="11" t="s">
        <v>369</v>
      </c>
      <c r="D1" s="17" t="s">
        <v>719</v>
      </c>
      <c r="F1" s="6" t="s">
        <v>692</v>
      </c>
      <c r="G1" s="7" t="s">
        <v>722</v>
      </c>
      <c r="H1" s="7" t="s">
        <v>721</v>
      </c>
      <c r="I1" s="6" t="s">
        <v>693</v>
      </c>
      <c r="J1" s="8" t="s">
        <v>720</v>
      </c>
      <c r="L1" s="12" t="s">
        <v>870</v>
      </c>
      <c r="M1" t="s">
        <v>871</v>
      </c>
      <c r="N1" t="s">
        <v>902</v>
      </c>
    </row>
    <row r="2" spans="1:14" x14ac:dyDescent="0.3">
      <c r="A2" s="18">
        <v>3636925</v>
      </c>
      <c r="B2" s="13" t="s">
        <v>4</v>
      </c>
      <c r="C2" s="13" t="s">
        <v>8</v>
      </c>
      <c r="D2" s="34">
        <v>25326</v>
      </c>
      <c r="F2" s="7">
        <v>50875168</v>
      </c>
      <c r="G2" s="7" t="str">
        <f t="shared" ref="G2:G65" si="0">IFERROR(VLOOKUP($F2,$A:$B,2,0),0)</f>
        <v>오아커버넥마사지기-베이지</v>
      </c>
      <c r="H2" s="7" t="str">
        <f t="shared" ref="H2:H65" si="1">IFERROR(VLOOKUP($F2,$A:$D,3,0),0)</f>
        <v>A00959</v>
      </c>
      <c r="I2" s="7">
        <v>9</v>
      </c>
      <c r="J2" s="7">
        <f t="shared" ref="J2:J65" si="2">IFERROR(VLOOKUP($F2,$A:$D,4,0),0)</f>
        <v>58826</v>
      </c>
      <c r="L2">
        <v>25326</v>
      </c>
      <c r="M2" t="b">
        <f>D2=L2</f>
        <v>1</v>
      </c>
      <c r="N2" t="s">
        <v>903</v>
      </c>
    </row>
    <row r="3" spans="1:14" x14ac:dyDescent="0.3">
      <c r="A3" s="18">
        <v>3636926</v>
      </c>
      <c r="B3" s="13" t="s">
        <v>17</v>
      </c>
      <c r="C3" s="13" t="s">
        <v>23</v>
      </c>
      <c r="D3" s="34">
        <v>26666</v>
      </c>
      <c r="F3" s="7">
        <v>52204284</v>
      </c>
      <c r="G3" s="7" t="str">
        <f t="shared" si="0"/>
        <v>보아르스위프클링전용필터</v>
      </c>
      <c r="H3" s="7" t="str">
        <f t="shared" si="1"/>
        <v>M00313</v>
      </c>
      <c r="I3" s="7">
        <v>10</v>
      </c>
      <c r="J3" s="7">
        <f t="shared" si="2"/>
        <v>3283</v>
      </c>
      <c r="L3">
        <v>26666</v>
      </c>
      <c r="M3" t="b">
        <f t="shared" ref="M3:M66" si="3">D3=L3</f>
        <v>1</v>
      </c>
      <c r="N3" t="s">
        <v>904</v>
      </c>
    </row>
    <row r="4" spans="1:14" x14ac:dyDescent="0.3">
      <c r="A4" s="18">
        <v>3636927</v>
      </c>
      <c r="B4" s="13" t="s">
        <v>28</v>
      </c>
      <c r="C4" s="13" t="s">
        <v>370</v>
      </c>
      <c r="D4" s="34">
        <v>21976</v>
      </c>
      <c r="F4" s="7">
        <v>55462718</v>
      </c>
      <c r="G4" s="7" t="str">
        <f t="shared" si="0"/>
        <v>오아슬림에어드라이기-블랙</v>
      </c>
      <c r="H4" s="7" t="str">
        <f t="shared" si="1"/>
        <v>A01146</v>
      </c>
      <c r="I4" s="7">
        <v>7</v>
      </c>
      <c r="J4" s="7">
        <f t="shared" si="2"/>
        <v>39396</v>
      </c>
      <c r="L4">
        <v>21976</v>
      </c>
      <c r="M4" t="b">
        <f t="shared" si="3"/>
        <v>1</v>
      </c>
      <c r="N4" t="s">
        <v>905</v>
      </c>
    </row>
    <row r="5" spans="1:14" x14ac:dyDescent="0.3">
      <c r="A5" s="18">
        <v>39415252</v>
      </c>
      <c r="B5" s="13" t="s">
        <v>29</v>
      </c>
      <c r="C5" s="13" t="s">
        <v>371</v>
      </c>
      <c r="D5" s="34">
        <v>72360</v>
      </c>
      <c r="F5" s="7">
        <v>58716097</v>
      </c>
      <c r="G5" s="7" t="str">
        <f t="shared" si="0"/>
        <v>오아아이스볼트맥스-베이지</v>
      </c>
      <c r="H5" s="7" t="str">
        <f t="shared" si="1"/>
        <v>A01593</v>
      </c>
      <c r="I5" s="7">
        <v>26</v>
      </c>
      <c r="J5" s="7">
        <f t="shared" si="2"/>
        <v>19966</v>
      </c>
      <c r="L5">
        <v>72360</v>
      </c>
      <c r="M5" t="b">
        <f t="shared" si="3"/>
        <v>1</v>
      </c>
      <c r="N5" t="s">
        <v>906</v>
      </c>
    </row>
    <row r="6" spans="1:14" x14ac:dyDescent="0.3">
      <c r="A6" s="18">
        <v>19213859</v>
      </c>
      <c r="B6" s="13" t="s">
        <v>30</v>
      </c>
      <c r="C6" s="13" t="s">
        <v>372</v>
      </c>
      <c r="D6" s="34">
        <v>85090</v>
      </c>
      <c r="F6" s="7">
        <v>60085614</v>
      </c>
      <c r="G6" s="7" t="str">
        <f t="shared" si="0"/>
        <v>오아무선뿌리볼륨고데기5000-베이지</v>
      </c>
      <c r="H6" s="7" t="str">
        <f t="shared" si="1"/>
        <v>A01672</v>
      </c>
      <c r="I6" s="7">
        <v>117</v>
      </c>
      <c r="J6" s="7">
        <f t="shared" si="2"/>
        <v>26733</v>
      </c>
      <c r="L6">
        <v>85090</v>
      </c>
      <c r="M6" t="b">
        <f t="shared" si="3"/>
        <v>1</v>
      </c>
      <c r="N6" t="s">
        <v>907</v>
      </c>
    </row>
    <row r="7" spans="1:14" x14ac:dyDescent="0.3">
      <c r="A7" s="19">
        <v>20342327</v>
      </c>
      <c r="B7" s="20" t="s">
        <v>31</v>
      </c>
      <c r="C7" s="13" t="s">
        <v>373</v>
      </c>
      <c r="D7" s="34">
        <v>58960</v>
      </c>
      <c r="F7" s="7">
        <v>61089339</v>
      </c>
      <c r="G7" s="7" t="str">
        <f t="shared" si="0"/>
        <v>오아폴드Qi2-블랙</v>
      </c>
      <c r="H7" s="7" t="str">
        <f t="shared" si="1"/>
        <v>A01471</v>
      </c>
      <c r="I7" s="7">
        <v>14</v>
      </c>
      <c r="J7" s="7">
        <f t="shared" si="2"/>
        <v>32830</v>
      </c>
      <c r="L7">
        <v>58960</v>
      </c>
      <c r="M7" t="b">
        <f t="shared" si="3"/>
        <v>1</v>
      </c>
      <c r="N7" t="s">
        <v>908</v>
      </c>
    </row>
    <row r="8" spans="1:14" x14ac:dyDescent="0.3">
      <c r="A8" s="18">
        <v>13004238</v>
      </c>
      <c r="B8" s="13" t="s">
        <v>32</v>
      </c>
      <c r="C8" s="13" t="s">
        <v>374</v>
      </c>
      <c r="D8" s="34">
        <v>71690</v>
      </c>
      <c r="F8" s="7">
        <v>61199642</v>
      </c>
      <c r="G8" s="7" t="str">
        <f t="shared" si="0"/>
        <v>오아에어리스마트-화이트</v>
      </c>
      <c r="H8" s="7" t="str">
        <f t="shared" si="1"/>
        <v>A01676</v>
      </c>
      <c r="I8" s="7">
        <v>24</v>
      </c>
      <c r="J8" s="7">
        <f t="shared" si="2"/>
        <v>58960</v>
      </c>
      <c r="L8">
        <v>71690</v>
      </c>
      <c r="M8" t="b">
        <f t="shared" si="3"/>
        <v>1</v>
      </c>
      <c r="N8" s="5" t="s">
        <v>909</v>
      </c>
    </row>
    <row r="9" spans="1:14" x14ac:dyDescent="0.3">
      <c r="A9" s="19">
        <v>20341619</v>
      </c>
      <c r="B9" s="20" t="s">
        <v>33</v>
      </c>
      <c r="C9" s="14" t="s">
        <v>697</v>
      </c>
      <c r="D9" s="34">
        <v>64990</v>
      </c>
      <c r="F9" s="7">
        <v>64330764</v>
      </c>
      <c r="G9" s="7" t="str">
        <f t="shared" si="0"/>
        <v>오아이지물결고데기-블루</v>
      </c>
      <c r="H9" s="7" t="str">
        <f t="shared" si="1"/>
        <v>A01834</v>
      </c>
      <c r="I9" s="7">
        <v>50</v>
      </c>
      <c r="J9" s="7">
        <f t="shared" si="2"/>
        <v>30016</v>
      </c>
      <c r="L9">
        <v>64990</v>
      </c>
      <c r="M9" t="b">
        <f t="shared" si="3"/>
        <v>1</v>
      </c>
      <c r="N9" s="5" t="s">
        <v>910</v>
      </c>
    </row>
    <row r="10" spans="1:14" x14ac:dyDescent="0.3">
      <c r="A10" s="18">
        <v>11092035</v>
      </c>
      <c r="B10" s="13" t="s">
        <v>34</v>
      </c>
      <c r="C10" s="13" t="s">
        <v>1011</v>
      </c>
      <c r="D10" s="34">
        <v>61640</v>
      </c>
      <c r="F10" s="7">
        <v>64808932</v>
      </c>
      <c r="G10" s="7" t="str">
        <f t="shared" si="0"/>
        <v>오아심플리고데기-아이보리</v>
      </c>
      <c r="H10" s="7" t="str">
        <f t="shared" si="1"/>
        <v>A01974</v>
      </c>
      <c r="I10" s="7">
        <v>26</v>
      </c>
      <c r="J10" s="7">
        <f t="shared" si="2"/>
        <v>18693</v>
      </c>
      <c r="L10">
        <v>61640</v>
      </c>
      <c r="M10" t="b">
        <f t="shared" si="3"/>
        <v>1</v>
      </c>
      <c r="N10" s="5" t="s">
        <v>911</v>
      </c>
    </row>
    <row r="11" spans="1:14" x14ac:dyDescent="0.3">
      <c r="A11" s="18">
        <v>40852278</v>
      </c>
      <c r="B11" s="13" t="s">
        <v>19</v>
      </c>
      <c r="C11" s="13" t="s">
        <v>25</v>
      </c>
      <c r="D11" s="34">
        <v>40066</v>
      </c>
      <c r="F11" s="7">
        <v>65145714</v>
      </c>
      <c r="G11" s="7" t="str">
        <f t="shared" si="0"/>
        <v>보아르위셀음식물처리기</v>
      </c>
      <c r="H11" s="7" t="str">
        <f t="shared" si="1"/>
        <v>A02015</v>
      </c>
      <c r="I11" s="7">
        <v>11</v>
      </c>
      <c r="J11" s="7">
        <f t="shared" si="2"/>
        <v>213060</v>
      </c>
      <c r="L11">
        <v>40066</v>
      </c>
      <c r="M11" t="b">
        <f t="shared" si="3"/>
        <v>1</v>
      </c>
      <c r="N11" s="5" t="s">
        <v>912</v>
      </c>
    </row>
    <row r="12" spans="1:14" x14ac:dyDescent="0.3">
      <c r="A12" s="19">
        <v>29266932</v>
      </c>
      <c r="B12" s="20" t="s">
        <v>35</v>
      </c>
      <c r="C12" s="13" t="s">
        <v>375</v>
      </c>
      <c r="D12" s="34">
        <v>38056</v>
      </c>
      <c r="F12" s="7">
        <v>65933937</v>
      </c>
      <c r="G12" s="7" t="str">
        <f t="shared" si="0"/>
        <v>오아듀얼미스트맥스-클라우디블루</v>
      </c>
      <c r="H12" s="7" t="str">
        <f t="shared" si="1"/>
        <v>A02362</v>
      </c>
      <c r="I12" s="7">
        <v>8</v>
      </c>
      <c r="J12" s="7">
        <f t="shared" si="2"/>
        <v>23383</v>
      </c>
      <c r="L12">
        <v>38056</v>
      </c>
      <c r="M12" t="b">
        <f t="shared" si="3"/>
        <v>1</v>
      </c>
    </row>
    <row r="13" spans="1:14" x14ac:dyDescent="0.3">
      <c r="A13" s="19">
        <v>12586373</v>
      </c>
      <c r="B13" s="20" t="s">
        <v>36</v>
      </c>
      <c r="C13" s="13" t="s">
        <v>376</v>
      </c>
      <c r="D13" s="34">
        <v>40736</v>
      </c>
      <c r="F13" s="7">
        <v>66358440</v>
      </c>
      <c r="G13" s="7" t="str">
        <f t="shared" si="0"/>
        <v>오아히트워머-핑크</v>
      </c>
      <c r="H13" s="7" t="str">
        <f t="shared" si="1"/>
        <v>A02229</v>
      </c>
      <c r="I13" s="7">
        <v>27</v>
      </c>
      <c r="J13" s="7">
        <f t="shared" si="2"/>
        <v>21976</v>
      </c>
      <c r="L13">
        <v>40736</v>
      </c>
      <c r="M13" t="b">
        <f t="shared" si="3"/>
        <v>1</v>
      </c>
    </row>
    <row r="14" spans="1:14" x14ac:dyDescent="0.3">
      <c r="A14" s="19">
        <v>11055651</v>
      </c>
      <c r="B14" s="20" t="s">
        <v>37</v>
      </c>
      <c r="C14" s="15" t="s">
        <v>695</v>
      </c>
      <c r="D14" s="34">
        <v>45426</v>
      </c>
      <c r="F14" s="7">
        <v>66778787</v>
      </c>
      <c r="G14" s="7" t="str">
        <f t="shared" si="0"/>
        <v>오아미니핏고데기-베이지</v>
      </c>
      <c r="H14" s="7" t="str">
        <f t="shared" si="1"/>
        <v>A02234</v>
      </c>
      <c r="I14" s="7">
        <v>8</v>
      </c>
      <c r="J14" s="7">
        <f t="shared" si="2"/>
        <v>17353</v>
      </c>
      <c r="L14">
        <v>45426</v>
      </c>
      <c r="M14" t="b">
        <f t="shared" si="3"/>
        <v>1</v>
      </c>
    </row>
    <row r="15" spans="1:14" x14ac:dyDescent="0.3">
      <c r="A15" s="19">
        <v>38659485</v>
      </c>
      <c r="B15" s="20" t="s">
        <v>38</v>
      </c>
      <c r="C15" s="13" t="s">
        <v>377</v>
      </c>
      <c r="D15" s="34">
        <v>36046</v>
      </c>
      <c r="F15" s="7">
        <v>68938743</v>
      </c>
      <c r="G15" s="7" t="str">
        <f t="shared" si="0"/>
        <v>오아프리온무선고데기-핑크</v>
      </c>
      <c r="H15" s="7" t="str">
        <f t="shared" si="1"/>
        <v>A02459</v>
      </c>
      <c r="I15" s="7">
        <v>133</v>
      </c>
      <c r="J15" s="7">
        <f t="shared" si="2"/>
        <v>33433</v>
      </c>
      <c r="L15">
        <v>36046</v>
      </c>
      <c r="M15" t="b">
        <f t="shared" si="3"/>
        <v>1</v>
      </c>
    </row>
    <row r="16" spans="1:14" x14ac:dyDescent="0.3">
      <c r="A16" s="18">
        <v>9567647</v>
      </c>
      <c r="B16" s="13" t="s">
        <v>39</v>
      </c>
      <c r="C16" s="13" t="s">
        <v>378</v>
      </c>
      <c r="D16" s="34">
        <v>29413</v>
      </c>
      <c r="F16" s="7">
        <v>69770093</v>
      </c>
      <c r="G16" s="7" t="str">
        <f t="shared" si="0"/>
        <v>오아효도손마사지기-블랙</v>
      </c>
      <c r="H16" s="7" t="str">
        <f t="shared" si="1"/>
        <v>A00298</v>
      </c>
      <c r="I16" s="7">
        <v>12</v>
      </c>
      <c r="J16" s="7">
        <f t="shared" si="2"/>
        <v>40066</v>
      </c>
      <c r="L16">
        <v>29413</v>
      </c>
      <c r="M16" t="b">
        <f t="shared" si="3"/>
        <v>1</v>
      </c>
    </row>
    <row r="17" spans="1:13" x14ac:dyDescent="0.3">
      <c r="A17" s="19">
        <v>40180424</v>
      </c>
      <c r="B17" s="20" t="s">
        <v>40</v>
      </c>
      <c r="C17" s="13" t="s">
        <v>379</v>
      </c>
      <c r="D17" s="34">
        <v>30016</v>
      </c>
      <c r="F17" s="7">
        <v>72910681</v>
      </c>
      <c r="G17" s="7" t="str">
        <f t="shared" si="0"/>
        <v>오아클린이스윙P-어비스블랙</v>
      </c>
      <c r="H17" s="7" t="str">
        <f t="shared" si="1"/>
        <v>A02862</v>
      </c>
      <c r="I17" s="7">
        <v>54</v>
      </c>
      <c r="J17" s="7">
        <f t="shared" si="2"/>
        <v>30016</v>
      </c>
      <c r="L17">
        <v>30016</v>
      </c>
      <c r="M17" t="b">
        <f t="shared" si="3"/>
        <v>1</v>
      </c>
    </row>
    <row r="18" spans="1:13" x14ac:dyDescent="0.3">
      <c r="A18" s="18">
        <v>39228155</v>
      </c>
      <c r="B18" s="13" t="s">
        <v>41</v>
      </c>
      <c r="C18" s="13" t="s">
        <v>380</v>
      </c>
      <c r="D18" s="34">
        <v>30016</v>
      </c>
      <c r="F18" s="7"/>
      <c r="G18" s="7">
        <f t="shared" si="0"/>
        <v>0</v>
      </c>
      <c r="H18" s="7">
        <f t="shared" si="1"/>
        <v>0</v>
      </c>
      <c r="I18" s="7"/>
      <c r="J18" s="7">
        <f t="shared" si="2"/>
        <v>0</v>
      </c>
      <c r="L18">
        <v>30016</v>
      </c>
      <c r="M18" t="b">
        <f t="shared" si="3"/>
        <v>1</v>
      </c>
    </row>
    <row r="19" spans="1:13" x14ac:dyDescent="0.3">
      <c r="A19" s="19">
        <v>38407975</v>
      </c>
      <c r="B19" s="20" t="s">
        <v>42</v>
      </c>
      <c r="C19" s="13" t="s">
        <v>381</v>
      </c>
      <c r="D19" s="34">
        <v>30016</v>
      </c>
      <c r="F19" s="7"/>
      <c r="G19" s="7">
        <f t="shared" si="0"/>
        <v>0</v>
      </c>
      <c r="H19" s="7">
        <f t="shared" si="1"/>
        <v>0</v>
      </c>
      <c r="I19" s="7"/>
      <c r="J19" s="7">
        <f t="shared" si="2"/>
        <v>0</v>
      </c>
      <c r="L19">
        <v>30016</v>
      </c>
      <c r="M19" t="b">
        <f t="shared" si="3"/>
        <v>1</v>
      </c>
    </row>
    <row r="20" spans="1:13" x14ac:dyDescent="0.3">
      <c r="A20" s="18">
        <v>38545387</v>
      </c>
      <c r="B20" s="13" t="s">
        <v>43</v>
      </c>
      <c r="C20" s="13" t="s">
        <v>382</v>
      </c>
      <c r="D20" s="34">
        <v>26666</v>
      </c>
      <c r="F20" s="7"/>
      <c r="G20" s="7">
        <f t="shared" si="0"/>
        <v>0</v>
      </c>
      <c r="H20" s="7">
        <f t="shared" si="1"/>
        <v>0</v>
      </c>
      <c r="I20" s="7"/>
      <c r="J20" s="7">
        <f t="shared" si="2"/>
        <v>0</v>
      </c>
      <c r="L20">
        <v>23383</v>
      </c>
      <c r="M20" t="b">
        <f t="shared" si="3"/>
        <v>0</v>
      </c>
    </row>
    <row r="21" spans="1:13" x14ac:dyDescent="0.3">
      <c r="A21" s="19">
        <v>18816827</v>
      </c>
      <c r="B21" s="20" t="s">
        <v>44</v>
      </c>
      <c r="C21" s="13" t="s">
        <v>383</v>
      </c>
      <c r="D21" s="34">
        <v>26666</v>
      </c>
      <c r="F21" s="7"/>
      <c r="G21" s="7">
        <f t="shared" si="0"/>
        <v>0</v>
      </c>
      <c r="H21" s="7">
        <f t="shared" si="1"/>
        <v>0</v>
      </c>
      <c r="I21" s="7"/>
      <c r="J21" s="7">
        <f t="shared" si="2"/>
        <v>0</v>
      </c>
      <c r="L21">
        <v>26666</v>
      </c>
      <c r="M21" t="b">
        <f t="shared" si="3"/>
        <v>1</v>
      </c>
    </row>
    <row r="22" spans="1:13" x14ac:dyDescent="0.3">
      <c r="A22" s="18">
        <v>39278162</v>
      </c>
      <c r="B22" s="13" t="s">
        <v>45</v>
      </c>
      <c r="C22" s="13" t="s">
        <v>384</v>
      </c>
      <c r="D22" s="34">
        <v>20033</v>
      </c>
      <c r="F22" s="7"/>
      <c r="G22" s="7">
        <f t="shared" si="0"/>
        <v>0</v>
      </c>
      <c r="H22" s="7">
        <f t="shared" si="1"/>
        <v>0</v>
      </c>
      <c r="I22" s="7"/>
      <c r="J22" s="7">
        <f t="shared" si="2"/>
        <v>0</v>
      </c>
      <c r="L22">
        <v>20033</v>
      </c>
      <c r="M22" t="b">
        <f t="shared" si="3"/>
        <v>1</v>
      </c>
    </row>
    <row r="23" spans="1:13" x14ac:dyDescent="0.3">
      <c r="A23" s="18">
        <v>13100374</v>
      </c>
      <c r="B23" s="13" t="s">
        <v>46</v>
      </c>
      <c r="C23" s="13" t="s">
        <v>385</v>
      </c>
      <c r="D23" s="34">
        <v>21842</v>
      </c>
      <c r="F23" s="7"/>
      <c r="G23" s="7">
        <f t="shared" si="0"/>
        <v>0</v>
      </c>
      <c r="H23" s="7">
        <f t="shared" si="1"/>
        <v>0</v>
      </c>
      <c r="I23" s="7"/>
      <c r="J23" s="7">
        <f t="shared" si="2"/>
        <v>0</v>
      </c>
      <c r="L23">
        <v>21842</v>
      </c>
      <c r="M23" t="b">
        <f t="shared" si="3"/>
        <v>1</v>
      </c>
    </row>
    <row r="24" spans="1:13" x14ac:dyDescent="0.3">
      <c r="A24" s="18">
        <v>10855225</v>
      </c>
      <c r="B24" s="13" t="s">
        <v>47</v>
      </c>
      <c r="C24" s="13" t="s">
        <v>386</v>
      </c>
      <c r="D24" s="34">
        <v>19966</v>
      </c>
      <c r="F24" s="7"/>
      <c r="G24" s="7">
        <f t="shared" si="0"/>
        <v>0</v>
      </c>
      <c r="H24" s="7">
        <f t="shared" si="1"/>
        <v>0</v>
      </c>
      <c r="I24" s="7"/>
      <c r="J24" s="7">
        <f t="shared" si="2"/>
        <v>0</v>
      </c>
      <c r="L24">
        <v>19966</v>
      </c>
      <c r="M24" t="b">
        <f t="shared" si="3"/>
        <v>1</v>
      </c>
    </row>
    <row r="25" spans="1:13" x14ac:dyDescent="0.3">
      <c r="A25" s="18">
        <v>38490171</v>
      </c>
      <c r="B25" s="13" t="s">
        <v>48</v>
      </c>
      <c r="C25" s="13" t="s">
        <v>387</v>
      </c>
      <c r="D25" s="34">
        <v>14606</v>
      </c>
      <c r="F25" s="7"/>
      <c r="G25" s="7">
        <f t="shared" si="0"/>
        <v>0</v>
      </c>
      <c r="H25" s="7">
        <f t="shared" si="1"/>
        <v>0</v>
      </c>
      <c r="I25" s="7"/>
      <c r="J25" s="7">
        <f t="shared" si="2"/>
        <v>0</v>
      </c>
      <c r="L25">
        <v>14606</v>
      </c>
      <c r="M25" t="b">
        <f t="shared" si="3"/>
        <v>1</v>
      </c>
    </row>
    <row r="26" spans="1:13" x14ac:dyDescent="0.3">
      <c r="A26" s="18">
        <v>38490170</v>
      </c>
      <c r="B26" s="13" t="s">
        <v>49</v>
      </c>
      <c r="C26" s="13" t="s">
        <v>388</v>
      </c>
      <c r="D26" s="34">
        <v>14606</v>
      </c>
      <c r="F26" s="7"/>
      <c r="G26" s="7">
        <f t="shared" si="0"/>
        <v>0</v>
      </c>
      <c r="H26" s="7">
        <f t="shared" si="1"/>
        <v>0</v>
      </c>
      <c r="I26" s="7"/>
      <c r="J26" s="7">
        <f t="shared" si="2"/>
        <v>0</v>
      </c>
      <c r="L26">
        <v>14606</v>
      </c>
      <c r="M26" t="b">
        <f t="shared" si="3"/>
        <v>1</v>
      </c>
    </row>
    <row r="27" spans="1:13" x14ac:dyDescent="0.3">
      <c r="A27" s="18">
        <v>38417027</v>
      </c>
      <c r="B27" s="13" t="s">
        <v>50</v>
      </c>
      <c r="C27" s="13" t="s">
        <v>389</v>
      </c>
      <c r="D27" s="34">
        <v>11926</v>
      </c>
      <c r="F27" s="7"/>
      <c r="G27" s="7">
        <f t="shared" si="0"/>
        <v>0</v>
      </c>
      <c r="H27" s="7">
        <f t="shared" si="1"/>
        <v>0</v>
      </c>
      <c r="I27" s="7"/>
      <c r="J27" s="7">
        <f t="shared" si="2"/>
        <v>0</v>
      </c>
      <c r="L27">
        <v>11926</v>
      </c>
      <c r="M27" t="b">
        <f t="shared" si="3"/>
        <v>1</v>
      </c>
    </row>
    <row r="28" spans="1:13" x14ac:dyDescent="0.3">
      <c r="A28" s="18">
        <v>13099542</v>
      </c>
      <c r="B28" s="13" t="s">
        <v>51</v>
      </c>
      <c r="C28" s="13" t="s">
        <v>390</v>
      </c>
      <c r="D28" s="34">
        <v>11926</v>
      </c>
      <c r="F28" s="7"/>
      <c r="G28" s="7">
        <f t="shared" si="0"/>
        <v>0</v>
      </c>
      <c r="H28" s="7">
        <f t="shared" si="1"/>
        <v>0</v>
      </c>
      <c r="I28" s="7"/>
      <c r="J28" s="7">
        <f t="shared" si="2"/>
        <v>0</v>
      </c>
      <c r="L28">
        <v>11926</v>
      </c>
      <c r="M28" t="b">
        <f t="shared" si="3"/>
        <v>1</v>
      </c>
    </row>
    <row r="29" spans="1:13" x14ac:dyDescent="0.3">
      <c r="A29" s="18">
        <v>10324264</v>
      </c>
      <c r="B29" s="13" t="s">
        <v>52</v>
      </c>
      <c r="C29" s="13" t="s">
        <v>391</v>
      </c>
      <c r="D29" s="34">
        <v>23316</v>
      </c>
      <c r="F29" s="7"/>
      <c r="G29" s="7">
        <f t="shared" si="0"/>
        <v>0</v>
      </c>
      <c r="H29" s="7">
        <f t="shared" si="1"/>
        <v>0</v>
      </c>
      <c r="I29" s="7"/>
      <c r="J29" s="7">
        <f t="shared" si="2"/>
        <v>0</v>
      </c>
      <c r="L29">
        <v>23316</v>
      </c>
      <c r="M29" t="b">
        <f t="shared" si="3"/>
        <v>1</v>
      </c>
    </row>
    <row r="30" spans="1:13" x14ac:dyDescent="0.3">
      <c r="A30" s="18">
        <v>39229235</v>
      </c>
      <c r="B30" s="13" t="s">
        <v>53</v>
      </c>
      <c r="C30" s="13" t="s">
        <v>392</v>
      </c>
      <c r="D30" s="34">
        <v>22110</v>
      </c>
      <c r="F30" s="7"/>
      <c r="G30" s="7">
        <f t="shared" si="0"/>
        <v>0</v>
      </c>
      <c r="H30" s="7">
        <f t="shared" si="1"/>
        <v>0</v>
      </c>
      <c r="I30" s="7"/>
      <c r="J30" s="7">
        <f t="shared" si="2"/>
        <v>0</v>
      </c>
      <c r="L30">
        <v>22110</v>
      </c>
      <c r="M30" t="b">
        <f t="shared" si="3"/>
        <v>1</v>
      </c>
    </row>
    <row r="31" spans="1:13" x14ac:dyDescent="0.3">
      <c r="A31" s="18">
        <v>12775098</v>
      </c>
      <c r="B31" s="21" t="s">
        <v>913</v>
      </c>
      <c r="C31" s="15" t="s">
        <v>1012</v>
      </c>
      <c r="D31" s="34">
        <v>46632</v>
      </c>
      <c r="F31" s="7"/>
      <c r="G31" s="7">
        <f t="shared" si="0"/>
        <v>0</v>
      </c>
      <c r="H31" s="7">
        <f t="shared" si="1"/>
        <v>0</v>
      </c>
      <c r="I31" s="7"/>
      <c r="J31" s="7">
        <f t="shared" si="2"/>
        <v>0</v>
      </c>
      <c r="L31">
        <v>48776</v>
      </c>
      <c r="M31" t="b">
        <f t="shared" si="3"/>
        <v>0</v>
      </c>
    </row>
    <row r="32" spans="1:13" x14ac:dyDescent="0.3">
      <c r="A32" s="18">
        <v>12775097</v>
      </c>
      <c r="B32" s="21" t="s">
        <v>914</v>
      </c>
      <c r="C32" s="15" t="s">
        <v>1013</v>
      </c>
      <c r="D32" s="34">
        <v>46632</v>
      </c>
      <c r="F32" s="7"/>
      <c r="G32" s="7">
        <f t="shared" si="0"/>
        <v>0</v>
      </c>
      <c r="H32" s="7">
        <f t="shared" si="1"/>
        <v>0</v>
      </c>
      <c r="I32" s="7"/>
      <c r="J32" s="7">
        <f t="shared" si="2"/>
        <v>0</v>
      </c>
      <c r="L32">
        <v>48776</v>
      </c>
      <c r="M32" t="b">
        <f t="shared" si="3"/>
        <v>0</v>
      </c>
    </row>
    <row r="33" spans="1:13" x14ac:dyDescent="0.3">
      <c r="A33" s="18">
        <v>12775096</v>
      </c>
      <c r="B33" s="21" t="s">
        <v>915</v>
      </c>
      <c r="C33" s="15" t="s">
        <v>1014</v>
      </c>
      <c r="D33" s="34">
        <v>46632</v>
      </c>
      <c r="F33" s="7"/>
      <c r="G33" s="7">
        <f t="shared" si="0"/>
        <v>0</v>
      </c>
      <c r="H33" s="7">
        <f t="shared" si="1"/>
        <v>0</v>
      </c>
      <c r="I33" s="7"/>
      <c r="J33" s="7">
        <f t="shared" si="2"/>
        <v>0</v>
      </c>
      <c r="L33">
        <v>48776</v>
      </c>
      <c r="M33" t="b">
        <f t="shared" si="3"/>
        <v>0</v>
      </c>
    </row>
    <row r="34" spans="1:13" x14ac:dyDescent="0.3">
      <c r="A34" s="18">
        <v>13151160</v>
      </c>
      <c r="B34" s="21" t="s">
        <v>916</v>
      </c>
      <c r="C34" s="15" t="s">
        <v>1015</v>
      </c>
      <c r="D34" s="34">
        <v>46163</v>
      </c>
      <c r="F34" s="7"/>
      <c r="G34" s="7">
        <f t="shared" si="0"/>
        <v>0</v>
      </c>
      <c r="H34" s="7">
        <f t="shared" si="1"/>
        <v>0</v>
      </c>
      <c r="I34" s="7"/>
      <c r="J34" s="7">
        <f t="shared" si="2"/>
        <v>0</v>
      </c>
      <c r="L34">
        <v>46163</v>
      </c>
      <c r="M34" t="b">
        <f t="shared" si="3"/>
        <v>1</v>
      </c>
    </row>
    <row r="35" spans="1:13" x14ac:dyDescent="0.3">
      <c r="A35" s="18">
        <v>13151158</v>
      </c>
      <c r="B35" s="21" t="s">
        <v>917</v>
      </c>
      <c r="C35" s="15" t="s">
        <v>1016</v>
      </c>
      <c r="D35" s="34">
        <v>46163</v>
      </c>
      <c r="F35" s="7"/>
      <c r="G35" s="7">
        <f t="shared" si="0"/>
        <v>0</v>
      </c>
      <c r="H35" s="7">
        <f t="shared" si="1"/>
        <v>0</v>
      </c>
      <c r="I35" s="7"/>
      <c r="J35" s="7">
        <f t="shared" si="2"/>
        <v>0</v>
      </c>
      <c r="L35">
        <v>46163</v>
      </c>
      <c r="M35" t="b">
        <f t="shared" si="3"/>
        <v>1</v>
      </c>
    </row>
    <row r="36" spans="1:13" x14ac:dyDescent="0.3">
      <c r="A36" s="18">
        <v>35403063</v>
      </c>
      <c r="B36" s="13" t="s">
        <v>54</v>
      </c>
      <c r="C36" s="13" t="s">
        <v>393</v>
      </c>
      <c r="D36" s="34">
        <v>33366</v>
      </c>
      <c r="F36" s="7"/>
      <c r="G36" s="7">
        <f t="shared" si="0"/>
        <v>0</v>
      </c>
      <c r="H36" s="7">
        <f t="shared" si="1"/>
        <v>0</v>
      </c>
      <c r="I36" s="7"/>
      <c r="J36" s="7">
        <f t="shared" si="2"/>
        <v>0</v>
      </c>
      <c r="L36">
        <v>33366</v>
      </c>
      <c r="M36" t="b">
        <f t="shared" si="3"/>
        <v>1</v>
      </c>
    </row>
    <row r="37" spans="1:13" x14ac:dyDescent="0.3">
      <c r="A37" s="18">
        <v>13473750</v>
      </c>
      <c r="B37" s="13" t="s">
        <v>55</v>
      </c>
      <c r="C37" s="13" t="s">
        <v>394</v>
      </c>
      <c r="D37" s="34">
        <v>33366</v>
      </c>
      <c r="F37" s="7"/>
      <c r="G37" s="7">
        <f t="shared" si="0"/>
        <v>0</v>
      </c>
      <c r="H37" s="7">
        <f t="shared" si="1"/>
        <v>0</v>
      </c>
      <c r="I37" s="7"/>
      <c r="J37" s="7">
        <f t="shared" si="2"/>
        <v>0</v>
      </c>
      <c r="L37">
        <v>33366</v>
      </c>
      <c r="M37" t="b">
        <f t="shared" si="3"/>
        <v>1</v>
      </c>
    </row>
    <row r="38" spans="1:13" x14ac:dyDescent="0.3">
      <c r="A38" s="18">
        <v>17014694</v>
      </c>
      <c r="B38" s="13" t="s">
        <v>918</v>
      </c>
      <c r="C38" s="15">
        <v>0</v>
      </c>
      <c r="D38" s="34">
        <v>30083</v>
      </c>
      <c r="F38" s="7"/>
      <c r="G38" s="7">
        <f t="shared" si="0"/>
        <v>0</v>
      </c>
      <c r="H38" s="7">
        <f t="shared" si="1"/>
        <v>0</v>
      </c>
      <c r="I38" s="7"/>
      <c r="J38" s="7">
        <f t="shared" si="2"/>
        <v>0</v>
      </c>
      <c r="L38">
        <v>30083</v>
      </c>
      <c r="M38" t="b">
        <f t="shared" si="3"/>
        <v>1</v>
      </c>
    </row>
    <row r="39" spans="1:13" x14ac:dyDescent="0.3">
      <c r="A39" s="18">
        <v>17014693</v>
      </c>
      <c r="B39" s="13" t="s">
        <v>919</v>
      </c>
      <c r="C39" s="15">
        <v>0</v>
      </c>
      <c r="D39" s="34">
        <v>30083</v>
      </c>
      <c r="F39" s="7"/>
      <c r="G39" s="7">
        <f t="shared" si="0"/>
        <v>0</v>
      </c>
      <c r="H39" s="7">
        <f t="shared" si="1"/>
        <v>0</v>
      </c>
      <c r="I39" s="7"/>
      <c r="J39" s="7">
        <f t="shared" si="2"/>
        <v>0</v>
      </c>
      <c r="L39">
        <v>30083</v>
      </c>
      <c r="M39" t="b">
        <f t="shared" si="3"/>
        <v>1</v>
      </c>
    </row>
    <row r="40" spans="1:13" x14ac:dyDescent="0.3">
      <c r="A40" s="18">
        <v>13101218</v>
      </c>
      <c r="B40" s="13" t="s">
        <v>56</v>
      </c>
      <c r="C40" s="13" t="s">
        <v>395</v>
      </c>
      <c r="D40" s="34">
        <v>29346</v>
      </c>
      <c r="F40" s="7"/>
      <c r="G40" s="7">
        <f t="shared" si="0"/>
        <v>0</v>
      </c>
      <c r="H40" s="7">
        <f t="shared" si="1"/>
        <v>0</v>
      </c>
      <c r="I40" s="7"/>
      <c r="J40" s="7">
        <f t="shared" si="2"/>
        <v>0</v>
      </c>
      <c r="L40">
        <v>29346</v>
      </c>
      <c r="M40" t="b">
        <f t="shared" si="3"/>
        <v>1</v>
      </c>
    </row>
    <row r="41" spans="1:13" x14ac:dyDescent="0.3">
      <c r="A41" s="18">
        <v>13101217</v>
      </c>
      <c r="B41" s="13" t="s">
        <v>57</v>
      </c>
      <c r="C41" s="13" t="s">
        <v>396</v>
      </c>
      <c r="D41" s="34">
        <v>29346</v>
      </c>
      <c r="F41" s="7"/>
      <c r="G41" s="7">
        <f t="shared" si="0"/>
        <v>0</v>
      </c>
      <c r="H41" s="7">
        <f t="shared" si="1"/>
        <v>0</v>
      </c>
      <c r="I41" s="7"/>
      <c r="J41" s="7">
        <f t="shared" si="2"/>
        <v>0</v>
      </c>
      <c r="L41">
        <v>29346</v>
      </c>
      <c r="M41" t="b">
        <f t="shared" si="3"/>
        <v>1</v>
      </c>
    </row>
    <row r="42" spans="1:13" x14ac:dyDescent="0.3">
      <c r="A42" s="18">
        <v>16981939</v>
      </c>
      <c r="B42" s="21" t="s">
        <v>920</v>
      </c>
      <c r="C42" s="15" t="s">
        <v>1017</v>
      </c>
      <c r="D42" s="34">
        <v>30552</v>
      </c>
      <c r="E42" s="4"/>
      <c r="F42" s="7"/>
      <c r="G42" s="7">
        <f t="shared" si="0"/>
        <v>0</v>
      </c>
      <c r="H42" s="7">
        <f t="shared" si="1"/>
        <v>0</v>
      </c>
      <c r="I42" s="7"/>
      <c r="J42" s="7">
        <f t="shared" si="2"/>
        <v>0</v>
      </c>
      <c r="L42">
        <v>30552</v>
      </c>
      <c r="M42" t="b">
        <f t="shared" si="3"/>
        <v>1</v>
      </c>
    </row>
    <row r="43" spans="1:13" x14ac:dyDescent="0.3">
      <c r="A43" s="18">
        <v>12846219</v>
      </c>
      <c r="B43" s="13" t="s">
        <v>58</v>
      </c>
      <c r="C43" s="13" t="s">
        <v>397</v>
      </c>
      <c r="D43" s="34">
        <v>29346</v>
      </c>
      <c r="F43" s="7"/>
      <c r="G43" s="7">
        <f t="shared" si="0"/>
        <v>0</v>
      </c>
      <c r="H43" s="7">
        <f t="shared" si="1"/>
        <v>0</v>
      </c>
      <c r="I43" s="7"/>
      <c r="J43" s="7">
        <f t="shared" si="2"/>
        <v>0</v>
      </c>
      <c r="L43">
        <v>29346</v>
      </c>
      <c r="M43" t="b">
        <f t="shared" si="3"/>
        <v>1</v>
      </c>
    </row>
    <row r="44" spans="1:13" x14ac:dyDescent="0.3">
      <c r="A44" s="18">
        <v>17398556</v>
      </c>
      <c r="B44" s="13" t="s">
        <v>921</v>
      </c>
      <c r="C44" s="15">
        <v>0</v>
      </c>
      <c r="D44" s="34">
        <v>27336</v>
      </c>
      <c r="F44" s="7"/>
      <c r="G44" s="7">
        <f t="shared" si="0"/>
        <v>0</v>
      </c>
      <c r="H44" s="7">
        <f t="shared" si="1"/>
        <v>0</v>
      </c>
      <c r="I44" s="7"/>
      <c r="J44" s="7">
        <f t="shared" si="2"/>
        <v>0</v>
      </c>
      <c r="L44">
        <v>27336</v>
      </c>
      <c r="M44" t="b">
        <f t="shared" si="3"/>
        <v>1</v>
      </c>
    </row>
    <row r="45" spans="1:13" x14ac:dyDescent="0.3">
      <c r="A45" s="18">
        <v>16972627</v>
      </c>
      <c r="B45" s="13" t="s">
        <v>922</v>
      </c>
      <c r="C45" s="15">
        <v>0</v>
      </c>
      <c r="D45" s="34">
        <v>27336</v>
      </c>
      <c r="F45" s="7"/>
      <c r="G45" s="7">
        <f t="shared" si="0"/>
        <v>0</v>
      </c>
      <c r="H45" s="7">
        <f t="shared" si="1"/>
        <v>0</v>
      </c>
      <c r="I45" s="7"/>
      <c r="J45" s="7">
        <f t="shared" si="2"/>
        <v>0</v>
      </c>
      <c r="L45">
        <v>27336</v>
      </c>
      <c r="M45" t="b">
        <f t="shared" si="3"/>
        <v>1</v>
      </c>
    </row>
    <row r="46" spans="1:13" x14ac:dyDescent="0.3">
      <c r="A46" s="18">
        <v>12846215</v>
      </c>
      <c r="B46" s="13" t="s">
        <v>16</v>
      </c>
      <c r="C46" s="13" t="s">
        <v>22</v>
      </c>
      <c r="D46" s="34">
        <v>26666</v>
      </c>
      <c r="F46" s="7"/>
      <c r="G46" s="7">
        <f t="shared" si="0"/>
        <v>0</v>
      </c>
      <c r="H46" s="7">
        <f t="shared" si="1"/>
        <v>0</v>
      </c>
      <c r="I46" s="7"/>
      <c r="J46" s="7">
        <f t="shared" si="2"/>
        <v>0</v>
      </c>
      <c r="L46">
        <v>26666</v>
      </c>
      <c r="M46" t="b">
        <f t="shared" si="3"/>
        <v>1</v>
      </c>
    </row>
    <row r="47" spans="1:13" x14ac:dyDescent="0.3">
      <c r="A47" s="18">
        <v>39663616</v>
      </c>
      <c r="B47" s="13" t="s">
        <v>59</v>
      </c>
      <c r="C47" s="13" t="s">
        <v>398</v>
      </c>
      <c r="D47" s="34">
        <v>25326</v>
      </c>
      <c r="F47" s="7"/>
      <c r="G47" s="7">
        <f t="shared" si="0"/>
        <v>0</v>
      </c>
      <c r="H47" s="7">
        <f t="shared" si="1"/>
        <v>0</v>
      </c>
      <c r="I47" s="7"/>
      <c r="J47" s="7">
        <f t="shared" si="2"/>
        <v>0</v>
      </c>
      <c r="L47">
        <v>25326</v>
      </c>
      <c r="M47" t="b">
        <f t="shared" si="3"/>
        <v>1</v>
      </c>
    </row>
    <row r="48" spans="1:13" x14ac:dyDescent="0.3">
      <c r="A48" s="18">
        <v>37843037</v>
      </c>
      <c r="B48" s="13" t="s">
        <v>60</v>
      </c>
      <c r="C48" s="13" t="s">
        <v>399</v>
      </c>
      <c r="D48" s="34">
        <v>25326</v>
      </c>
      <c r="F48" s="7"/>
      <c r="G48" s="7">
        <f t="shared" si="0"/>
        <v>0</v>
      </c>
      <c r="H48" s="7">
        <f t="shared" si="1"/>
        <v>0</v>
      </c>
      <c r="I48" s="7"/>
      <c r="J48" s="7">
        <f t="shared" si="2"/>
        <v>0</v>
      </c>
      <c r="L48">
        <v>25326</v>
      </c>
      <c r="M48" t="b">
        <f t="shared" si="3"/>
        <v>1</v>
      </c>
    </row>
    <row r="49" spans="1:13" x14ac:dyDescent="0.3">
      <c r="A49" s="18">
        <v>12465755</v>
      </c>
      <c r="B49" s="13" t="s">
        <v>61</v>
      </c>
      <c r="C49" s="13" t="s">
        <v>400</v>
      </c>
      <c r="D49" s="34">
        <v>23316</v>
      </c>
      <c r="F49" s="7"/>
      <c r="G49" s="7">
        <f t="shared" si="0"/>
        <v>0</v>
      </c>
      <c r="H49" s="7">
        <f t="shared" si="1"/>
        <v>0</v>
      </c>
      <c r="I49" s="7"/>
      <c r="J49" s="7">
        <f t="shared" si="2"/>
        <v>0</v>
      </c>
      <c r="L49">
        <v>24656</v>
      </c>
      <c r="M49" t="b">
        <f t="shared" si="3"/>
        <v>0</v>
      </c>
    </row>
    <row r="50" spans="1:13" x14ac:dyDescent="0.3">
      <c r="A50" s="18">
        <v>11671481</v>
      </c>
      <c r="B50" s="13" t="s">
        <v>62</v>
      </c>
      <c r="C50" s="13" t="s">
        <v>401</v>
      </c>
      <c r="D50" s="34">
        <v>23316</v>
      </c>
      <c r="F50" s="7"/>
      <c r="G50" s="7">
        <f t="shared" si="0"/>
        <v>0</v>
      </c>
      <c r="H50" s="7">
        <f t="shared" si="1"/>
        <v>0</v>
      </c>
      <c r="I50" s="7"/>
      <c r="J50" s="7">
        <f t="shared" si="2"/>
        <v>0</v>
      </c>
      <c r="L50">
        <v>24656</v>
      </c>
      <c r="M50" t="b">
        <f t="shared" si="3"/>
        <v>0</v>
      </c>
    </row>
    <row r="51" spans="1:13" x14ac:dyDescent="0.3">
      <c r="A51" s="22">
        <v>12846216</v>
      </c>
      <c r="B51" s="16" t="s">
        <v>63</v>
      </c>
      <c r="C51" s="13" t="s">
        <v>402</v>
      </c>
      <c r="D51" s="34">
        <v>24708</v>
      </c>
      <c r="F51" s="7"/>
      <c r="G51" s="7">
        <f t="shared" si="0"/>
        <v>0</v>
      </c>
      <c r="H51" s="7">
        <f t="shared" si="1"/>
        <v>0</v>
      </c>
      <c r="I51" s="7"/>
      <c r="J51" s="7">
        <f t="shared" si="2"/>
        <v>0</v>
      </c>
      <c r="L51">
        <v>24708</v>
      </c>
      <c r="M51" t="b">
        <f t="shared" si="3"/>
        <v>1</v>
      </c>
    </row>
    <row r="52" spans="1:13" x14ac:dyDescent="0.3">
      <c r="A52" s="18">
        <v>12685386</v>
      </c>
      <c r="B52" s="13" t="s">
        <v>64</v>
      </c>
      <c r="C52" s="13" t="s">
        <v>403</v>
      </c>
      <c r="D52" s="34">
        <v>23316</v>
      </c>
      <c r="F52" s="7"/>
      <c r="G52" s="7">
        <f t="shared" si="0"/>
        <v>0</v>
      </c>
      <c r="H52" s="7">
        <f t="shared" si="1"/>
        <v>0</v>
      </c>
      <c r="I52" s="7"/>
      <c r="J52" s="7">
        <f t="shared" si="2"/>
        <v>0</v>
      </c>
      <c r="L52">
        <v>23316</v>
      </c>
      <c r="M52" t="b">
        <f t="shared" si="3"/>
        <v>1</v>
      </c>
    </row>
    <row r="53" spans="1:13" x14ac:dyDescent="0.3">
      <c r="A53" s="18">
        <v>12674974</v>
      </c>
      <c r="B53" s="13" t="s">
        <v>65</v>
      </c>
      <c r="C53" s="13" t="s">
        <v>404</v>
      </c>
      <c r="D53" s="34">
        <v>22646</v>
      </c>
      <c r="F53" s="7"/>
      <c r="G53" s="7">
        <f t="shared" si="0"/>
        <v>0</v>
      </c>
      <c r="H53" s="7">
        <f t="shared" si="1"/>
        <v>0</v>
      </c>
      <c r="I53" s="7"/>
      <c r="J53" s="7">
        <f t="shared" si="2"/>
        <v>0</v>
      </c>
      <c r="L53">
        <v>22646</v>
      </c>
      <c r="M53" t="b">
        <f t="shared" si="3"/>
        <v>1</v>
      </c>
    </row>
    <row r="54" spans="1:13" x14ac:dyDescent="0.3">
      <c r="A54" s="18">
        <v>12674973</v>
      </c>
      <c r="B54" s="13" t="s">
        <v>66</v>
      </c>
      <c r="C54" s="13" t="s">
        <v>405</v>
      </c>
      <c r="D54" s="34">
        <v>22646</v>
      </c>
      <c r="F54" s="7"/>
      <c r="G54" s="7">
        <f t="shared" si="0"/>
        <v>0</v>
      </c>
      <c r="H54" s="7">
        <f t="shared" si="1"/>
        <v>0</v>
      </c>
      <c r="I54" s="7"/>
      <c r="J54" s="7">
        <f t="shared" si="2"/>
        <v>0</v>
      </c>
      <c r="L54">
        <v>22646</v>
      </c>
      <c r="M54" t="b">
        <f t="shared" si="3"/>
        <v>1</v>
      </c>
    </row>
    <row r="55" spans="1:13" x14ac:dyDescent="0.3">
      <c r="A55" s="18">
        <v>27515992</v>
      </c>
      <c r="B55" s="13" t="s">
        <v>67</v>
      </c>
      <c r="C55" s="13" t="s">
        <v>406</v>
      </c>
      <c r="D55" s="34">
        <v>18626</v>
      </c>
      <c r="F55" s="7"/>
      <c r="G55" s="7">
        <f t="shared" si="0"/>
        <v>0</v>
      </c>
      <c r="H55" s="7">
        <f t="shared" si="1"/>
        <v>0</v>
      </c>
      <c r="I55" s="7"/>
      <c r="J55" s="7">
        <f t="shared" si="2"/>
        <v>0</v>
      </c>
      <c r="L55">
        <v>18626</v>
      </c>
      <c r="M55" t="b">
        <f t="shared" si="3"/>
        <v>1</v>
      </c>
    </row>
    <row r="56" spans="1:13" x14ac:dyDescent="0.3">
      <c r="A56" s="18">
        <v>18928667</v>
      </c>
      <c r="B56" s="13" t="s">
        <v>1104</v>
      </c>
      <c r="C56" s="15" t="s">
        <v>696</v>
      </c>
      <c r="D56" s="34">
        <v>15946</v>
      </c>
      <c r="F56" s="7"/>
      <c r="G56" s="7">
        <f t="shared" si="0"/>
        <v>0</v>
      </c>
      <c r="H56" s="7">
        <f t="shared" si="1"/>
        <v>0</v>
      </c>
      <c r="I56" s="7"/>
      <c r="J56" s="7">
        <f t="shared" si="2"/>
        <v>0</v>
      </c>
      <c r="L56">
        <v>15946</v>
      </c>
      <c r="M56" t="b">
        <f t="shared" si="3"/>
        <v>1</v>
      </c>
    </row>
    <row r="57" spans="1:13" x14ac:dyDescent="0.3">
      <c r="A57" s="18">
        <v>14218803</v>
      </c>
      <c r="B57" s="13" t="s">
        <v>68</v>
      </c>
      <c r="C57" s="13" t="s">
        <v>407</v>
      </c>
      <c r="D57" s="34">
        <v>16281</v>
      </c>
      <c r="F57" s="7"/>
      <c r="G57" s="7">
        <f t="shared" si="0"/>
        <v>0</v>
      </c>
      <c r="H57" s="7">
        <f t="shared" si="1"/>
        <v>0</v>
      </c>
      <c r="I57" s="7"/>
      <c r="J57" s="7">
        <f t="shared" si="2"/>
        <v>0</v>
      </c>
      <c r="L57">
        <v>16281</v>
      </c>
      <c r="M57" t="b">
        <f t="shared" si="3"/>
        <v>1</v>
      </c>
    </row>
    <row r="58" spans="1:13" x14ac:dyDescent="0.3">
      <c r="A58" s="18">
        <v>14218802</v>
      </c>
      <c r="B58" s="13" t="s">
        <v>69</v>
      </c>
      <c r="C58" s="13" t="s">
        <v>408</v>
      </c>
      <c r="D58" s="34">
        <v>16281</v>
      </c>
      <c r="F58" s="7"/>
      <c r="G58" s="7">
        <f t="shared" si="0"/>
        <v>0</v>
      </c>
      <c r="H58" s="7">
        <f t="shared" si="1"/>
        <v>0</v>
      </c>
      <c r="I58" s="7"/>
      <c r="J58" s="7">
        <f t="shared" si="2"/>
        <v>0</v>
      </c>
      <c r="L58">
        <v>16281</v>
      </c>
      <c r="M58" t="b">
        <f t="shared" si="3"/>
        <v>1</v>
      </c>
    </row>
    <row r="59" spans="1:13" x14ac:dyDescent="0.3">
      <c r="A59" s="19">
        <v>14473529</v>
      </c>
      <c r="B59" s="21" t="s">
        <v>923</v>
      </c>
      <c r="C59" s="13" t="s">
        <v>1018</v>
      </c>
      <c r="D59" s="34">
        <v>15477</v>
      </c>
      <c r="F59" s="7"/>
      <c r="G59" s="7">
        <f t="shared" si="0"/>
        <v>0</v>
      </c>
      <c r="H59" s="7">
        <f t="shared" si="1"/>
        <v>0</v>
      </c>
      <c r="I59" s="7"/>
      <c r="J59" s="7">
        <f t="shared" si="2"/>
        <v>0</v>
      </c>
      <c r="L59">
        <v>15477</v>
      </c>
      <c r="M59" t="b">
        <f t="shared" si="3"/>
        <v>1</v>
      </c>
    </row>
    <row r="60" spans="1:13" x14ac:dyDescent="0.3">
      <c r="A60" s="19">
        <v>25512595</v>
      </c>
      <c r="B60" s="20" t="s">
        <v>70</v>
      </c>
      <c r="C60" s="13" t="s">
        <v>409</v>
      </c>
      <c r="D60" s="34">
        <v>8241</v>
      </c>
      <c r="F60" s="7"/>
      <c r="G60" s="7">
        <f t="shared" si="0"/>
        <v>0</v>
      </c>
      <c r="H60" s="7">
        <f t="shared" si="1"/>
        <v>0</v>
      </c>
      <c r="I60" s="7"/>
      <c r="J60" s="7">
        <f t="shared" si="2"/>
        <v>0</v>
      </c>
      <c r="L60">
        <v>8241</v>
      </c>
      <c r="M60" t="b">
        <f t="shared" si="3"/>
        <v>1</v>
      </c>
    </row>
    <row r="61" spans="1:13" x14ac:dyDescent="0.3">
      <c r="A61" s="19">
        <v>25433097</v>
      </c>
      <c r="B61" s="20" t="s">
        <v>71</v>
      </c>
      <c r="C61" s="13" t="s">
        <v>410</v>
      </c>
      <c r="D61" s="34">
        <v>8241</v>
      </c>
      <c r="F61" s="7"/>
      <c r="G61" s="7">
        <f t="shared" si="0"/>
        <v>0</v>
      </c>
      <c r="H61" s="7">
        <f t="shared" si="1"/>
        <v>0</v>
      </c>
      <c r="I61" s="7"/>
      <c r="J61" s="7">
        <f t="shared" si="2"/>
        <v>0</v>
      </c>
      <c r="L61">
        <v>8241</v>
      </c>
      <c r="M61" t="b">
        <f t="shared" si="3"/>
        <v>1</v>
      </c>
    </row>
    <row r="62" spans="1:13" x14ac:dyDescent="0.25">
      <c r="A62" s="23">
        <v>50012601</v>
      </c>
      <c r="B62" s="13" t="s">
        <v>72</v>
      </c>
      <c r="C62" s="13" t="s">
        <v>411</v>
      </c>
      <c r="D62" s="34">
        <v>24656</v>
      </c>
      <c r="F62" s="7"/>
      <c r="G62" s="7">
        <f t="shared" si="0"/>
        <v>0</v>
      </c>
      <c r="H62" s="7">
        <f t="shared" si="1"/>
        <v>0</v>
      </c>
      <c r="I62" s="7"/>
      <c r="J62" s="7">
        <f t="shared" si="2"/>
        <v>0</v>
      </c>
      <c r="L62">
        <v>24656</v>
      </c>
      <c r="M62" t="b">
        <f t="shared" si="3"/>
        <v>1</v>
      </c>
    </row>
    <row r="63" spans="1:13" x14ac:dyDescent="0.3">
      <c r="A63" s="18">
        <v>52204284</v>
      </c>
      <c r="B63" s="13" t="s">
        <v>73</v>
      </c>
      <c r="C63" s="13" t="s">
        <v>412</v>
      </c>
      <c r="D63" s="34">
        <v>3283</v>
      </c>
      <c r="F63" s="7"/>
      <c r="G63" s="7">
        <f t="shared" si="0"/>
        <v>0</v>
      </c>
      <c r="H63" s="7">
        <f t="shared" si="1"/>
        <v>0</v>
      </c>
      <c r="I63" s="7"/>
      <c r="J63" s="7">
        <f t="shared" si="2"/>
        <v>0</v>
      </c>
      <c r="L63">
        <v>3283</v>
      </c>
      <c r="M63" t="b">
        <f t="shared" si="3"/>
        <v>1</v>
      </c>
    </row>
    <row r="64" spans="1:13" x14ac:dyDescent="0.3">
      <c r="A64" s="18">
        <v>52155531</v>
      </c>
      <c r="B64" s="13" t="s">
        <v>74</v>
      </c>
      <c r="C64" s="13" t="s">
        <v>413</v>
      </c>
      <c r="D64" s="34">
        <v>10653</v>
      </c>
      <c r="F64" s="7"/>
      <c r="G64" s="7">
        <f t="shared" si="0"/>
        <v>0</v>
      </c>
      <c r="H64" s="7">
        <f t="shared" si="1"/>
        <v>0</v>
      </c>
      <c r="I64" s="7"/>
      <c r="J64" s="7">
        <f t="shared" si="2"/>
        <v>0</v>
      </c>
      <c r="L64">
        <v>10653</v>
      </c>
      <c r="M64" t="b">
        <f t="shared" si="3"/>
        <v>1</v>
      </c>
    </row>
    <row r="65" spans="1:13" x14ac:dyDescent="0.3">
      <c r="A65" s="18">
        <v>10814871</v>
      </c>
      <c r="B65" s="13" t="s">
        <v>75</v>
      </c>
      <c r="C65" s="13" t="s">
        <v>414</v>
      </c>
      <c r="D65" s="34">
        <v>20680</v>
      </c>
      <c r="F65" s="7"/>
      <c r="G65" s="7">
        <f t="shared" si="0"/>
        <v>0</v>
      </c>
      <c r="H65" s="7">
        <f t="shared" si="1"/>
        <v>0</v>
      </c>
      <c r="I65" s="7"/>
      <c r="J65" s="7">
        <f t="shared" si="2"/>
        <v>0</v>
      </c>
      <c r="L65">
        <v>20680</v>
      </c>
      <c r="M65" t="b">
        <f t="shared" si="3"/>
        <v>1</v>
      </c>
    </row>
    <row r="66" spans="1:13" x14ac:dyDescent="0.3">
      <c r="A66" s="18">
        <v>31792560</v>
      </c>
      <c r="B66" s="13" t="s">
        <v>76</v>
      </c>
      <c r="C66" s="13" t="s">
        <v>415</v>
      </c>
      <c r="D66" s="34">
        <v>23980</v>
      </c>
      <c r="F66" s="7"/>
      <c r="G66" s="7">
        <f t="shared" ref="G66:G129" si="4">IFERROR(VLOOKUP($F66,$A:$B,2,0),0)</f>
        <v>0</v>
      </c>
      <c r="H66" s="7">
        <f t="shared" ref="H66:H129" si="5">IFERROR(VLOOKUP($F66,$A:$D,3,0),0)</f>
        <v>0</v>
      </c>
      <c r="I66" s="7"/>
      <c r="J66" s="7">
        <f t="shared" ref="J66:J129" si="6">IFERROR(VLOOKUP($F66,$A:$D,4,0),0)</f>
        <v>0</v>
      </c>
      <c r="L66">
        <v>23980</v>
      </c>
      <c r="M66" t="b">
        <f t="shared" si="3"/>
        <v>1</v>
      </c>
    </row>
    <row r="67" spans="1:13" x14ac:dyDescent="0.3">
      <c r="A67" s="18">
        <v>10694343</v>
      </c>
      <c r="B67" s="13" t="s">
        <v>77</v>
      </c>
      <c r="C67" s="13" t="s">
        <v>416</v>
      </c>
      <c r="D67" s="34">
        <v>19674</v>
      </c>
      <c r="F67" s="7"/>
      <c r="G67" s="7">
        <f t="shared" si="4"/>
        <v>0</v>
      </c>
      <c r="H67" s="7">
        <f t="shared" si="5"/>
        <v>0</v>
      </c>
      <c r="I67" s="7"/>
      <c r="J67" s="7">
        <f t="shared" si="6"/>
        <v>0</v>
      </c>
      <c r="L67">
        <v>19674</v>
      </c>
      <c r="M67" t="b">
        <f t="shared" ref="M67:M130" si="7">D67=L67</f>
        <v>1</v>
      </c>
    </row>
    <row r="68" spans="1:13" x14ac:dyDescent="0.3">
      <c r="A68" s="18">
        <v>43431417</v>
      </c>
      <c r="B68" s="13" t="s">
        <v>78</v>
      </c>
      <c r="C68" s="13" t="s">
        <v>417</v>
      </c>
      <c r="D68" s="34">
        <v>18626</v>
      </c>
      <c r="F68" s="7"/>
      <c r="G68" s="7">
        <f t="shared" si="4"/>
        <v>0</v>
      </c>
      <c r="H68" s="7">
        <f t="shared" si="5"/>
        <v>0</v>
      </c>
      <c r="I68" s="7"/>
      <c r="J68" s="7">
        <f t="shared" si="6"/>
        <v>0</v>
      </c>
      <c r="L68">
        <v>20134</v>
      </c>
      <c r="M68" t="b">
        <f t="shared" si="7"/>
        <v>0</v>
      </c>
    </row>
    <row r="69" spans="1:13" x14ac:dyDescent="0.3">
      <c r="A69" s="19">
        <v>10978754</v>
      </c>
      <c r="B69" s="20" t="s">
        <v>79</v>
      </c>
      <c r="C69" s="13" t="s">
        <v>418</v>
      </c>
      <c r="D69" s="34">
        <v>21425</v>
      </c>
      <c r="F69" s="7"/>
      <c r="G69" s="7">
        <f t="shared" si="4"/>
        <v>0</v>
      </c>
      <c r="H69" s="7">
        <f t="shared" si="5"/>
        <v>0</v>
      </c>
      <c r="I69" s="7"/>
      <c r="J69" s="7">
        <f t="shared" si="6"/>
        <v>0</v>
      </c>
      <c r="L69">
        <v>21425</v>
      </c>
      <c r="M69" t="b">
        <f t="shared" si="7"/>
        <v>1</v>
      </c>
    </row>
    <row r="70" spans="1:13" x14ac:dyDescent="0.3">
      <c r="A70" s="19">
        <v>41073664</v>
      </c>
      <c r="B70" s="20" t="s">
        <v>80</v>
      </c>
      <c r="C70" s="13" t="s">
        <v>419</v>
      </c>
      <c r="D70" s="34">
        <v>5955</v>
      </c>
      <c r="F70" s="7"/>
      <c r="G70" s="7">
        <f t="shared" si="4"/>
        <v>0</v>
      </c>
      <c r="H70" s="7">
        <f t="shared" si="5"/>
        <v>0</v>
      </c>
      <c r="I70" s="7"/>
      <c r="J70" s="7">
        <f t="shared" si="6"/>
        <v>0</v>
      </c>
      <c r="L70">
        <v>5955</v>
      </c>
      <c r="M70" t="b">
        <f t="shared" si="7"/>
        <v>1</v>
      </c>
    </row>
    <row r="71" spans="1:13" x14ac:dyDescent="0.3">
      <c r="A71" s="18">
        <v>10974363</v>
      </c>
      <c r="B71" s="13" t="s">
        <v>81</v>
      </c>
      <c r="C71" s="13" t="s">
        <v>420</v>
      </c>
      <c r="D71" s="34">
        <v>33299</v>
      </c>
      <c r="F71" s="7"/>
      <c r="G71" s="7">
        <f t="shared" si="4"/>
        <v>0</v>
      </c>
      <c r="H71" s="7">
        <f t="shared" si="5"/>
        <v>0</v>
      </c>
      <c r="I71" s="7"/>
      <c r="J71" s="7">
        <f t="shared" si="6"/>
        <v>0</v>
      </c>
      <c r="L71">
        <v>33299</v>
      </c>
      <c r="M71" t="b">
        <f t="shared" si="7"/>
        <v>1</v>
      </c>
    </row>
    <row r="72" spans="1:13" x14ac:dyDescent="0.3">
      <c r="A72" s="18">
        <v>39376011</v>
      </c>
      <c r="B72" s="13" t="s">
        <v>82</v>
      </c>
      <c r="C72" s="13" t="s">
        <v>421</v>
      </c>
      <c r="D72" s="34">
        <v>19966</v>
      </c>
      <c r="F72" s="7"/>
      <c r="G72" s="7">
        <f t="shared" si="4"/>
        <v>0</v>
      </c>
      <c r="H72" s="7">
        <f t="shared" si="5"/>
        <v>0</v>
      </c>
      <c r="I72" s="7"/>
      <c r="J72" s="7">
        <f t="shared" si="6"/>
        <v>0</v>
      </c>
      <c r="L72">
        <v>19966</v>
      </c>
      <c r="M72" t="b">
        <f t="shared" si="7"/>
        <v>1</v>
      </c>
    </row>
    <row r="73" spans="1:13" x14ac:dyDescent="0.3">
      <c r="A73" s="18">
        <v>38310913</v>
      </c>
      <c r="B73" s="13" t="s">
        <v>83</v>
      </c>
      <c r="C73" s="13" t="s">
        <v>422</v>
      </c>
      <c r="D73" s="34">
        <v>19966</v>
      </c>
      <c r="F73" s="7"/>
      <c r="G73" s="7">
        <f t="shared" si="4"/>
        <v>0</v>
      </c>
      <c r="H73" s="7">
        <f t="shared" si="5"/>
        <v>0</v>
      </c>
      <c r="I73" s="7"/>
      <c r="J73" s="7">
        <f t="shared" si="6"/>
        <v>0</v>
      </c>
      <c r="L73">
        <v>19966</v>
      </c>
      <c r="M73" t="b">
        <f t="shared" si="7"/>
        <v>1</v>
      </c>
    </row>
    <row r="74" spans="1:13" x14ac:dyDescent="0.3">
      <c r="A74" s="18">
        <v>40639939</v>
      </c>
      <c r="B74" s="13" t="s">
        <v>84</v>
      </c>
      <c r="C74" s="13" t="s">
        <v>423</v>
      </c>
      <c r="D74" s="34">
        <v>6365</v>
      </c>
      <c r="F74" s="7"/>
      <c r="G74" s="7">
        <f t="shared" si="4"/>
        <v>0</v>
      </c>
      <c r="H74" s="7">
        <f t="shared" si="5"/>
        <v>0</v>
      </c>
      <c r="I74" s="7"/>
      <c r="J74" s="7">
        <f t="shared" si="6"/>
        <v>0</v>
      </c>
      <c r="L74">
        <v>6365</v>
      </c>
      <c r="M74" t="b">
        <f t="shared" si="7"/>
        <v>1</v>
      </c>
    </row>
    <row r="75" spans="1:13" x14ac:dyDescent="0.3">
      <c r="A75" s="18">
        <v>44581094</v>
      </c>
      <c r="B75" s="13" t="s">
        <v>85</v>
      </c>
      <c r="C75" s="13" t="s">
        <v>424</v>
      </c>
      <c r="D75" s="34">
        <v>3886</v>
      </c>
      <c r="F75" s="7"/>
      <c r="G75" s="7">
        <f t="shared" si="4"/>
        <v>0</v>
      </c>
      <c r="H75" s="7">
        <f t="shared" si="5"/>
        <v>0</v>
      </c>
      <c r="I75" s="7"/>
      <c r="J75" s="7">
        <f t="shared" si="6"/>
        <v>0</v>
      </c>
      <c r="L75">
        <v>3886</v>
      </c>
      <c r="M75" t="b">
        <f t="shared" si="7"/>
        <v>1</v>
      </c>
    </row>
    <row r="76" spans="1:13" x14ac:dyDescent="0.3">
      <c r="A76" s="18">
        <v>39270777</v>
      </c>
      <c r="B76" s="13" t="s">
        <v>86</v>
      </c>
      <c r="C76" s="13" t="s">
        <v>425</v>
      </c>
      <c r="D76" s="34">
        <v>13266</v>
      </c>
      <c r="F76" s="7"/>
      <c r="G76" s="7">
        <f t="shared" si="4"/>
        <v>0</v>
      </c>
      <c r="H76" s="7">
        <f t="shared" si="5"/>
        <v>0</v>
      </c>
      <c r="I76" s="7"/>
      <c r="J76" s="7">
        <f t="shared" si="6"/>
        <v>0</v>
      </c>
      <c r="L76">
        <v>13266</v>
      </c>
      <c r="M76" t="b">
        <f t="shared" si="7"/>
        <v>1</v>
      </c>
    </row>
    <row r="77" spans="1:13" x14ac:dyDescent="0.3">
      <c r="A77" s="18">
        <v>45342904</v>
      </c>
      <c r="B77" s="13" t="s">
        <v>87</v>
      </c>
      <c r="C77" s="13" t="s">
        <v>426</v>
      </c>
      <c r="D77" s="34">
        <v>33932</v>
      </c>
      <c r="F77" s="7"/>
      <c r="G77" s="7">
        <f t="shared" si="4"/>
        <v>0</v>
      </c>
      <c r="H77" s="7">
        <f t="shared" si="5"/>
        <v>0</v>
      </c>
      <c r="I77" s="7"/>
      <c r="J77" s="7">
        <f t="shared" si="6"/>
        <v>0</v>
      </c>
      <c r="L77">
        <v>33932</v>
      </c>
      <c r="M77" t="b">
        <f t="shared" si="7"/>
        <v>1</v>
      </c>
    </row>
    <row r="78" spans="1:13" x14ac:dyDescent="0.3">
      <c r="A78" s="19">
        <v>19619417</v>
      </c>
      <c r="B78" s="20" t="s">
        <v>88</v>
      </c>
      <c r="C78" s="13" t="s">
        <v>427</v>
      </c>
      <c r="D78" s="34">
        <v>172190</v>
      </c>
      <c r="F78" s="7"/>
      <c r="G78" s="7">
        <f t="shared" si="4"/>
        <v>0</v>
      </c>
      <c r="H78" s="7">
        <f t="shared" si="5"/>
        <v>0</v>
      </c>
      <c r="I78" s="7"/>
      <c r="J78" s="7">
        <f t="shared" si="6"/>
        <v>0</v>
      </c>
      <c r="L78">
        <v>172190</v>
      </c>
      <c r="M78" t="b">
        <f t="shared" si="7"/>
        <v>1</v>
      </c>
    </row>
    <row r="79" spans="1:13" x14ac:dyDescent="0.3">
      <c r="A79" s="19">
        <v>36606823</v>
      </c>
      <c r="B79" s="20" t="s">
        <v>89</v>
      </c>
      <c r="C79" s="13" t="s">
        <v>428</v>
      </c>
      <c r="D79" s="34">
        <v>85090</v>
      </c>
      <c r="F79" s="7"/>
      <c r="G79" s="7">
        <f t="shared" si="4"/>
        <v>0</v>
      </c>
      <c r="H79" s="7">
        <f t="shared" si="5"/>
        <v>0</v>
      </c>
      <c r="I79" s="7"/>
      <c r="J79" s="7">
        <f t="shared" si="6"/>
        <v>0</v>
      </c>
      <c r="L79">
        <v>85090</v>
      </c>
      <c r="M79" t="b">
        <f t="shared" si="7"/>
        <v>1</v>
      </c>
    </row>
    <row r="80" spans="1:13" x14ac:dyDescent="0.3">
      <c r="A80" s="18">
        <v>12585217</v>
      </c>
      <c r="B80" s="13" t="s">
        <v>90</v>
      </c>
      <c r="C80" s="13" t="s">
        <v>429</v>
      </c>
      <c r="D80" s="34">
        <v>33366</v>
      </c>
      <c r="F80" s="7"/>
      <c r="G80" s="7">
        <f t="shared" si="4"/>
        <v>0</v>
      </c>
      <c r="H80" s="7">
        <f t="shared" si="5"/>
        <v>0</v>
      </c>
      <c r="I80" s="7"/>
      <c r="J80" s="7">
        <f t="shared" si="6"/>
        <v>0</v>
      </c>
      <c r="L80">
        <v>33366</v>
      </c>
      <c r="M80" t="b">
        <f t="shared" si="7"/>
        <v>1</v>
      </c>
    </row>
    <row r="81" spans="1:13" x14ac:dyDescent="0.3">
      <c r="A81" s="18">
        <v>11511332</v>
      </c>
      <c r="B81" s="13" t="s">
        <v>91</v>
      </c>
      <c r="C81" s="13" t="s">
        <v>430</v>
      </c>
      <c r="D81" s="34">
        <v>26666</v>
      </c>
      <c r="F81" s="7"/>
      <c r="G81" s="7">
        <f t="shared" si="4"/>
        <v>0</v>
      </c>
      <c r="H81" s="7">
        <f t="shared" si="5"/>
        <v>0</v>
      </c>
      <c r="I81" s="7"/>
      <c r="J81" s="7">
        <f t="shared" si="6"/>
        <v>0</v>
      </c>
      <c r="L81">
        <v>26666</v>
      </c>
      <c r="M81" t="b">
        <f t="shared" si="7"/>
        <v>1</v>
      </c>
    </row>
    <row r="82" spans="1:13" x14ac:dyDescent="0.3">
      <c r="A82" s="18">
        <v>12579597</v>
      </c>
      <c r="B82" s="13" t="s">
        <v>92</v>
      </c>
      <c r="C82" s="13" t="s">
        <v>431</v>
      </c>
      <c r="D82" s="34">
        <v>25326</v>
      </c>
      <c r="F82" s="7"/>
      <c r="G82" s="7">
        <f t="shared" si="4"/>
        <v>0</v>
      </c>
      <c r="H82" s="7">
        <f t="shared" si="5"/>
        <v>0</v>
      </c>
      <c r="I82" s="7"/>
      <c r="J82" s="7">
        <f t="shared" si="6"/>
        <v>0</v>
      </c>
      <c r="L82">
        <v>25326</v>
      </c>
      <c r="M82" t="b">
        <f t="shared" si="7"/>
        <v>1</v>
      </c>
    </row>
    <row r="83" spans="1:13" x14ac:dyDescent="0.25">
      <c r="A83" s="23">
        <v>50153946</v>
      </c>
      <c r="B83" s="13" t="s">
        <v>93</v>
      </c>
      <c r="C83" s="13" t="s">
        <v>432</v>
      </c>
      <c r="D83" s="34">
        <v>20971</v>
      </c>
      <c r="F83" s="7"/>
      <c r="G83" s="7">
        <f t="shared" si="4"/>
        <v>0</v>
      </c>
      <c r="H83" s="7">
        <f t="shared" si="5"/>
        <v>0</v>
      </c>
      <c r="I83" s="7"/>
      <c r="J83" s="7">
        <f t="shared" si="6"/>
        <v>0</v>
      </c>
      <c r="L83">
        <v>20971</v>
      </c>
      <c r="M83" t="b">
        <f t="shared" si="7"/>
        <v>1</v>
      </c>
    </row>
    <row r="84" spans="1:13" x14ac:dyDescent="0.3">
      <c r="A84" s="18">
        <v>50723598</v>
      </c>
      <c r="B84" s="13" t="s">
        <v>94</v>
      </c>
      <c r="C84" s="13" t="s">
        <v>433</v>
      </c>
      <c r="D84" s="34">
        <v>26733</v>
      </c>
      <c r="F84" s="7"/>
      <c r="G84" s="7">
        <f t="shared" si="4"/>
        <v>0</v>
      </c>
      <c r="H84" s="7">
        <f t="shared" si="5"/>
        <v>0</v>
      </c>
      <c r="I84" s="7"/>
      <c r="J84" s="7">
        <f t="shared" si="6"/>
        <v>0</v>
      </c>
      <c r="L84">
        <v>26733</v>
      </c>
      <c r="M84" t="b">
        <f t="shared" si="7"/>
        <v>1</v>
      </c>
    </row>
    <row r="85" spans="1:13" x14ac:dyDescent="0.3">
      <c r="A85" s="18">
        <v>34464589</v>
      </c>
      <c r="B85" s="13" t="s">
        <v>1019</v>
      </c>
      <c r="C85" s="13" t="s">
        <v>434</v>
      </c>
      <c r="D85" s="34">
        <v>86430</v>
      </c>
      <c r="F85" s="7"/>
      <c r="G85" s="7">
        <f t="shared" si="4"/>
        <v>0</v>
      </c>
      <c r="H85" s="7">
        <f t="shared" si="5"/>
        <v>0</v>
      </c>
      <c r="I85" s="7"/>
      <c r="J85" s="7">
        <f t="shared" si="6"/>
        <v>0</v>
      </c>
      <c r="L85">
        <v>98490</v>
      </c>
      <c r="M85" t="b">
        <f t="shared" si="7"/>
        <v>0</v>
      </c>
    </row>
    <row r="86" spans="1:13" x14ac:dyDescent="0.3">
      <c r="A86" s="18">
        <v>12029130</v>
      </c>
      <c r="B86" s="13" t="s">
        <v>815</v>
      </c>
      <c r="C86" s="14" t="s">
        <v>698</v>
      </c>
      <c r="D86" s="34">
        <v>73030</v>
      </c>
      <c r="F86" s="7"/>
      <c r="G86" s="7">
        <f t="shared" si="4"/>
        <v>0</v>
      </c>
      <c r="H86" s="7">
        <f t="shared" si="5"/>
        <v>0</v>
      </c>
      <c r="I86" s="7"/>
      <c r="J86" s="7">
        <f t="shared" si="6"/>
        <v>0</v>
      </c>
      <c r="L86">
        <v>79060</v>
      </c>
      <c r="M86" t="b">
        <f t="shared" si="7"/>
        <v>0</v>
      </c>
    </row>
    <row r="87" spans="1:13" x14ac:dyDescent="0.3">
      <c r="A87" s="18">
        <v>46962408</v>
      </c>
      <c r="B87" s="13" t="s">
        <v>95</v>
      </c>
      <c r="C87" s="13" t="s">
        <v>435</v>
      </c>
      <c r="D87" s="34">
        <v>59630</v>
      </c>
      <c r="F87" s="7"/>
      <c r="G87" s="7">
        <f t="shared" si="4"/>
        <v>0</v>
      </c>
      <c r="H87" s="7">
        <f t="shared" si="5"/>
        <v>0</v>
      </c>
      <c r="I87" s="7"/>
      <c r="J87" s="7">
        <f t="shared" si="6"/>
        <v>0</v>
      </c>
      <c r="L87">
        <v>64990</v>
      </c>
      <c r="M87" t="b">
        <f t="shared" si="7"/>
        <v>0</v>
      </c>
    </row>
    <row r="88" spans="1:13" x14ac:dyDescent="0.3">
      <c r="A88" s="18">
        <v>11874445</v>
      </c>
      <c r="B88" s="13" t="s">
        <v>816</v>
      </c>
      <c r="C88" s="13" t="s">
        <v>436</v>
      </c>
      <c r="D88" s="34">
        <v>64856</v>
      </c>
      <c r="F88" s="7"/>
      <c r="G88" s="7">
        <f t="shared" si="4"/>
        <v>0</v>
      </c>
      <c r="H88" s="7">
        <f t="shared" si="5"/>
        <v>0</v>
      </c>
      <c r="I88" s="7"/>
      <c r="J88" s="7">
        <f t="shared" si="6"/>
        <v>0</v>
      </c>
      <c r="L88">
        <v>64856</v>
      </c>
      <c r="M88" t="b">
        <f t="shared" si="7"/>
        <v>1</v>
      </c>
    </row>
    <row r="89" spans="1:13" x14ac:dyDescent="0.3">
      <c r="A89" s="18">
        <v>25665354</v>
      </c>
      <c r="B89" s="13" t="s">
        <v>96</v>
      </c>
      <c r="C89" s="13" t="s">
        <v>437</v>
      </c>
      <c r="D89" s="34">
        <v>64990</v>
      </c>
      <c r="F89" s="7"/>
      <c r="G89" s="7">
        <f t="shared" si="4"/>
        <v>0</v>
      </c>
      <c r="H89" s="7">
        <f t="shared" si="5"/>
        <v>0</v>
      </c>
      <c r="I89" s="7"/>
      <c r="J89" s="7">
        <f t="shared" si="6"/>
        <v>0</v>
      </c>
      <c r="L89">
        <v>64990</v>
      </c>
      <c r="M89" t="b">
        <f t="shared" si="7"/>
        <v>1</v>
      </c>
    </row>
    <row r="90" spans="1:13" x14ac:dyDescent="0.3">
      <c r="A90" s="18">
        <v>46550390</v>
      </c>
      <c r="B90" s="13" t="s">
        <v>97</v>
      </c>
      <c r="C90" s="13" t="s">
        <v>438</v>
      </c>
      <c r="D90" s="34">
        <v>33366</v>
      </c>
      <c r="F90" s="7"/>
      <c r="G90" s="7">
        <f t="shared" si="4"/>
        <v>0</v>
      </c>
      <c r="H90" s="7">
        <f t="shared" si="5"/>
        <v>0</v>
      </c>
      <c r="I90" s="7"/>
      <c r="J90" s="7">
        <f t="shared" si="6"/>
        <v>0</v>
      </c>
      <c r="L90">
        <v>33366</v>
      </c>
      <c r="M90" t="b">
        <f t="shared" si="7"/>
        <v>1</v>
      </c>
    </row>
    <row r="91" spans="1:13" x14ac:dyDescent="0.3">
      <c r="A91" s="18">
        <v>45573288</v>
      </c>
      <c r="B91" s="13" t="s">
        <v>98</v>
      </c>
      <c r="C91" s="13" t="s">
        <v>439</v>
      </c>
      <c r="D91" s="34">
        <v>30083</v>
      </c>
      <c r="F91" s="7"/>
      <c r="G91" s="7">
        <f t="shared" si="4"/>
        <v>0</v>
      </c>
      <c r="H91" s="7">
        <f t="shared" si="5"/>
        <v>0</v>
      </c>
      <c r="I91" s="7"/>
      <c r="J91" s="7">
        <f t="shared" si="6"/>
        <v>0</v>
      </c>
      <c r="L91">
        <v>33366</v>
      </c>
      <c r="M91" t="b">
        <f t="shared" si="7"/>
        <v>0</v>
      </c>
    </row>
    <row r="92" spans="1:13" x14ac:dyDescent="0.3">
      <c r="A92" s="18">
        <v>34318450</v>
      </c>
      <c r="B92" s="13" t="s">
        <v>99</v>
      </c>
      <c r="C92" s="13" t="s">
        <v>440</v>
      </c>
      <c r="D92" s="34">
        <v>32026</v>
      </c>
      <c r="F92" s="7"/>
      <c r="G92" s="7">
        <f t="shared" si="4"/>
        <v>0</v>
      </c>
      <c r="H92" s="7">
        <f t="shared" si="5"/>
        <v>0</v>
      </c>
      <c r="I92" s="7"/>
      <c r="J92" s="7">
        <f t="shared" si="6"/>
        <v>0</v>
      </c>
      <c r="L92">
        <v>32026</v>
      </c>
      <c r="M92" t="b">
        <f t="shared" si="7"/>
        <v>1</v>
      </c>
    </row>
    <row r="93" spans="1:13" x14ac:dyDescent="0.3">
      <c r="A93" s="18">
        <v>45701215</v>
      </c>
      <c r="B93" s="13" t="s">
        <v>100</v>
      </c>
      <c r="C93" s="13" t="s">
        <v>441</v>
      </c>
      <c r="D93" s="34">
        <v>26666</v>
      </c>
      <c r="F93" s="7"/>
      <c r="G93" s="7">
        <f t="shared" si="4"/>
        <v>0</v>
      </c>
      <c r="H93" s="7">
        <f t="shared" si="5"/>
        <v>0</v>
      </c>
      <c r="I93" s="7"/>
      <c r="J93" s="7">
        <f t="shared" si="6"/>
        <v>0</v>
      </c>
      <c r="L93">
        <v>26666</v>
      </c>
      <c r="M93" t="b">
        <f t="shared" si="7"/>
        <v>1</v>
      </c>
    </row>
    <row r="94" spans="1:13" x14ac:dyDescent="0.3">
      <c r="A94" s="18">
        <v>15004955</v>
      </c>
      <c r="B94" s="13" t="s">
        <v>101</v>
      </c>
      <c r="C94" s="13" t="s">
        <v>442</v>
      </c>
      <c r="D94" s="34">
        <v>23316</v>
      </c>
      <c r="F94" s="7"/>
      <c r="G94" s="7">
        <f t="shared" si="4"/>
        <v>0</v>
      </c>
      <c r="H94" s="7">
        <f t="shared" si="5"/>
        <v>0</v>
      </c>
      <c r="I94" s="7"/>
      <c r="J94" s="7">
        <f t="shared" si="6"/>
        <v>0</v>
      </c>
      <c r="L94">
        <v>23316</v>
      </c>
      <c r="M94" t="b">
        <f t="shared" si="7"/>
        <v>1</v>
      </c>
    </row>
    <row r="95" spans="1:13" x14ac:dyDescent="0.3">
      <c r="A95" s="18">
        <v>25321998</v>
      </c>
      <c r="B95" s="13" t="s">
        <v>102</v>
      </c>
      <c r="C95" s="13" t="s">
        <v>443</v>
      </c>
      <c r="D95" s="34">
        <v>23316</v>
      </c>
      <c r="F95" s="7"/>
      <c r="G95" s="7">
        <f t="shared" si="4"/>
        <v>0</v>
      </c>
      <c r="H95" s="7">
        <f t="shared" si="5"/>
        <v>0</v>
      </c>
      <c r="I95" s="7"/>
      <c r="J95" s="7">
        <f t="shared" si="6"/>
        <v>0</v>
      </c>
      <c r="L95">
        <v>23316</v>
      </c>
      <c r="M95" t="b">
        <f t="shared" si="7"/>
        <v>1</v>
      </c>
    </row>
    <row r="96" spans="1:13" x14ac:dyDescent="0.3">
      <c r="A96" s="22">
        <v>25321996</v>
      </c>
      <c r="B96" s="16" t="s">
        <v>103</v>
      </c>
      <c r="C96" s="13" t="s">
        <v>444</v>
      </c>
      <c r="D96" s="34">
        <v>23316</v>
      </c>
      <c r="F96" s="7"/>
      <c r="G96" s="7">
        <f t="shared" si="4"/>
        <v>0</v>
      </c>
      <c r="H96" s="7">
        <f t="shared" si="5"/>
        <v>0</v>
      </c>
      <c r="I96" s="7"/>
      <c r="J96" s="7">
        <f t="shared" si="6"/>
        <v>0</v>
      </c>
      <c r="L96">
        <v>23316</v>
      </c>
      <c r="M96" t="b">
        <f t="shared" si="7"/>
        <v>1</v>
      </c>
    </row>
    <row r="97" spans="1:13" x14ac:dyDescent="0.3">
      <c r="A97" s="18">
        <v>46191377</v>
      </c>
      <c r="B97" s="13" t="s">
        <v>104</v>
      </c>
      <c r="C97" s="13" t="s">
        <v>445</v>
      </c>
      <c r="D97" s="34">
        <v>19966</v>
      </c>
      <c r="F97" s="7"/>
      <c r="G97" s="7">
        <f t="shared" si="4"/>
        <v>0</v>
      </c>
      <c r="H97" s="7">
        <f t="shared" si="5"/>
        <v>0</v>
      </c>
      <c r="I97" s="7"/>
      <c r="J97" s="7">
        <f t="shared" si="6"/>
        <v>0</v>
      </c>
      <c r="L97">
        <v>19966</v>
      </c>
      <c r="M97" t="b">
        <f t="shared" si="7"/>
        <v>1</v>
      </c>
    </row>
    <row r="98" spans="1:13" x14ac:dyDescent="0.3">
      <c r="A98" s="19">
        <v>45349063</v>
      </c>
      <c r="B98" s="20" t="s">
        <v>105</v>
      </c>
      <c r="C98" s="13" t="s">
        <v>446</v>
      </c>
      <c r="D98" s="34">
        <v>22043</v>
      </c>
      <c r="F98" s="7"/>
      <c r="G98" s="7">
        <f t="shared" si="4"/>
        <v>0</v>
      </c>
      <c r="H98" s="7">
        <f t="shared" si="5"/>
        <v>0</v>
      </c>
      <c r="I98" s="7"/>
      <c r="J98" s="7">
        <f t="shared" si="6"/>
        <v>0</v>
      </c>
      <c r="L98">
        <v>22043</v>
      </c>
      <c r="M98" t="b">
        <f t="shared" si="7"/>
        <v>1</v>
      </c>
    </row>
    <row r="99" spans="1:13" x14ac:dyDescent="0.3">
      <c r="A99" s="18">
        <v>44996967</v>
      </c>
      <c r="B99" s="13" t="s">
        <v>106</v>
      </c>
      <c r="C99" s="13" t="s">
        <v>447</v>
      </c>
      <c r="D99" s="34">
        <v>19966</v>
      </c>
      <c r="F99" s="7"/>
      <c r="G99" s="7">
        <f t="shared" si="4"/>
        <v>0</v>
      </c>
      <c r="H99" s="7">
        <f t="shared" si="5"/>
        <v>0</v>
      </c>
      <c r="I99" s="7"/>
      <c r="J99" s="7">
        <f t="shared" si="6"/>
        <v>0</v>
      </c>
      <c r="L99">
        <v>19966</v>
      </c>
      <c r="M99" t="b">
        <f t="shared" si="7"/>
        <v>1</v>
      </c>
    </row>
    <row r="100" spans="1:13" x14ac:dyDescent="0.3">
      <c r="A100" s="18">
        <v>15462869</v>
      </c>
      <c r="B100" s="13" t="s">
        <v>107</v>
      </c>
      <c r="C100" s="13" t="s">
        <v>448</v>
      </c>
      <c r="D100" s="34">
        <v>19966</v>
      </c>
      <c r="F100" s="7"/>
      <c r="G100" s="7">
        <f t="shared" si="4"/>
        <v>0</v>
      </c>
      <c r="H100" s="7">
        <f t="shared" si="5"/>
        <v>0</v>
      </c>
      <c r="I100" s="7"/>
      <c r="J100" s="7">
        <f t="shared" si="6"/>
        <v>0</v>
      </c>
      <c r="L100">
        <v>19966</v>
      </c>
      <c r="M100" t="b">
        <f t="shared" si="7"/>
        <v>1</v>
      </c>
    </row>
    <row r="101" spans="1:13" x14ac:dyDescent="0.3">
      <c r="A101" s="18">
        <v>15462868</v>
      </c>
      <c r="B101" s="13" t="s">
        <v>108</v>
      </c>
      <c r="C101" s="13" t="s">
        <v>449</v>
      </c>
      <c r="D101" s="34">
        <v>19966</v>
      </c>
      <c r="F101" s="7"/>
      <c r="G101" s="7">
        <f t="shared" si="4"/>
        <v>0</v>
      </c>
      <c r="H101" s="7">
        <f t="shared" si="5"/>
        <v>0</v>
      </c>
      <c r="I101" s="7"/>
      <c r="J101" s="7">
        <f t="shared" si="6"/>
        <v>0</v>
      </c>
      <c r="L101">
        <v>19966</v>
      </c>
      <c r="M101" t="b">
        <f t="shared" si="7"/>
        <v>1</v>
      </c>
    </row>
    <row r="102" spans="1:13" x14ac:dyDescent="0.3">
      <c r="A102" s="18">
        <v>46671749</v>
      </c>
      <c r="B102" s="13" t="s">
        <v>109</v>
      </c>
      <c r="C102" s="13" t="s">
        <v>450</v>
      </c>
      <c r="D102" s="34">
        <v>17286</v>
      </c>
      <c r="F102" s="7"/>
      <c r="G102" s="7">
        <f t="shared" si="4"/>
        <v>0</v>
      </c>
      <c r="H102" s="7">
        <f t="shared" si="5"/>
        <v>0</v>
      </c>
      <c r="I102" s="7"/>
      <c r="J102" s="7">
        <f t="shared" si="6"/>
        <v>0</v>
      </c>
      <c r="L102">
        <v>17286</v>
      </c>
      <c r="M102" t="b">
        <f t="shared" si="7"/>
        <v>1</v>
      </c>
    </row>
    <row r="103" spans="1:13" x14ac:dyDescent="0.3">
      <c r="A103" s="18">
        <v>35137369</v>
      </c>
      <c r="B103" s="13" t="s">
        <v>110</v>
      </c>
      <c r="C103" s="13" t="s">
        <v>451</v>
      </c>
      <c r="D103" s="34">
        <v>18626</v>
      </c>
      <c r="F103" s="7"/>
      <c r="G103" s="7">
        <f t="shared" si="4"/>
        <v>0</v>
      </c>
      <c r="H103" s="7">
        <f t="shared" si="5"/>
        <v>0</v>
      </c>
      <c r="I103" s="7"/>
      <c r="J103" s="7">
        <f t="shared" si="6"/>
        <v>0</v>
      </c>
      <c r="L103">
        <v>18626</v>
      </c>
      <c r="M103" t="b">
        <f t="shared" si="7"/>
        <v>1</v>
      </c>
    </row>
    <row r="104" spans="1:13" x14ac:dyDescent="0.3">
      <c r="A104" s="18">
        <v>34320929</v>
      </c>
      <c r="B104" s="13" t="s">
        <v>111</v>
      </c>
      <c r="C104" s="13" t="s">
        <v>452</v>
      </c>
      <c r="D104" s="34">
        <v>16013</v>
      </c>
      <c r="F104" s="7"/>
      <c r="G104" s="7">
        <f t="shared" si="4"/>
        <v>0</v>
      </c>
      <c r="H104" s="7">
        <f t="shared" si="5"/>
        <v>0</v>
      </c>
      <c r="I104" s="7"/>
      <c r="J104" s="7">
        <f t="shared" si="6"/>
        <v>0</v>
      </c>
      <c r="L104">
        <v>18626</v>
      </c>
      <c r="M104" t="b">
        <f t="shared" si="7"/>
        <v>0</v>
      </c>
    </row>
    <row r="105" spans="1:13" x14ac:dyDescent="0.3">
      <c r="A105" s="18">
        <v>34320928</v>
      </c>
      <c r="B105" s="13" t="s">
        <v>112</v>
      </c>
      <c r="C105" s="13" t="s">
        <v>453</v>
      </c>
      <c r="D105" s="34">
        <v>16013</v>
      </c>
      <c r="F105" s="7"/>
      <c r="G105" s="7">
        <f t="shared" si="4"/>
        <v>0</v>
      </c>
      <c r="H105" s="7">
        <f t="shared" si="5"/>
        <v>0</v>
      </c>
      <c r="I105" s="7"/>
      <c r="J105" s="7">
        <f t="shared" si="6"/>
        <v>0</v>
      </c>
      <c r="L105">
        <v>18626</v>
      </c>
      <c r="M105" t="b">
        <f t="shared" si="7"/>
        <v>0</v>
      </c>
    </row>
    <row r="106" spans="1:13" x14ac:dyDescent="0.3">
      <c r="A106" s="18">
        <v>23200605</v>
      </c>
      <c r="B106" s="13" t="s">
        <v>113</v>
      </c>
      <c r="C106" s="13" t="s">
        <v>454</v>
      </c>
      <c r="D106" s="34">
        <v>13333</v>
      </c>
      <c r="F106" s="7"/>
      <c r="G106" s="7">
        <f t="shared" si="4"/>
        <v>0</v>
      </c>
      <c r="H106" s="7">
        <f t="shared" si="5"/>
        <v>0</v>
      </c>
      <c r="I106" s="7"/>
      <c r="J106" s="7">
        <f t="shared" si="6"/>
        <v>0</v>
      </c>
      <c r="L106">
        <v>12596</v>
      </c>
      <c r="M106" t="b">
        <f t="shared" si="7"/>
        <v>0</v>
      </c>
    </row>
    <row r="107" spans="1:13" x14ac:dyDescent="0.3">
      <c r="A107" s="18">
        <v>23200603</v>
      </c>
      <c r="B107" s="13" t="s">
        <v>114</v>
      </c>
      <c r="C107" s="13" t="s">
        <v>455</v>
      </c>
      <c r="D107" s="34">
        <v>13333</v>
      </c>
      <c r="F107" s="7"/>
      <c r="G107" s="7">
        <f t="shared" si="4"/>
        <v>0</v>
      </c>
      <c r="H107" s="7">
        <f t="shared" si="5"/>
        <v>0</v>
      </c>
      <c r="I107" s="7"/>
      <c r="J107" s="7">
        <f t="shared" si="6"/>
        <v>0</v>
      </c>
      <c r="L107">
        <v>12596</v>
      </c>
      <c r="M107" t="b">
        <f t="shared" si="7"/>
        <v>0</v>
      </c>
    </row>
    <row r="108" spans="1:13" x14ac:dyDescent="0.3">
      <c r="A108" s="18">
        <v>43571361</v>
      </c>
      <c r="B108" s="13" t="s">
        <v>115</v>
      </c>
      <c r="C108" s="13" t="s">
        <v>456</v>
      </c>
      <c r="D108" s="34">
        <v>11926</v>
      </c>
      <c r="F108" s="7"/>
      <c r="G108" s="7">
        <f t="shared" si="4"/>
        <v>0</v>
      </c>
      <c r="H108" s="7">
        <f t="shared" si="5"/>
        <v>0</v>
      </c>
      <c r="I108" s="7"/>
      <c r="J108" s="7">
        <f t="shared" si="6"/>
        <v>0</v>
      </c>
      <c r="L108">
        <v>11926</v>
      </c>
      <c r="M108" t="b">
        <f t="shared" si="7"/>
        <v>1</v>
      </c>
    </row>
    <row r="109" spans="1:13" x14ac:dyDescent="0.3">
      <c r="A109" s="18">
        <v>43571360</v>
      </c>
      <c r="B109" s="13" t="s">
        <v>116</v>
      </c>
      <c r="C109" s="13" t="s">
        <v>457</v>
      </c>
      <c r="D109" s="34">
        <v>11926</v>
      </c>
      <c r="F109" s="7"/>
      <c r="G109" s="7">
        <f t="shared" si="4"/>
        <v>0</v>
      </c>
      <c r="H109" s="7">
        <f t="shared" si="5"/>
        <v>0</v>
      </c>
      <c r="I109" s="7"/>
      <c r="J109" s="7">
        <f t="shared" si="6"/>
        <v>0</v>
      </c>
      <c r="L109">
        <v>11926</v>
      </c>
      <c r="M109" t="b">
        <f t="shared" si="7"/>
        <v>1</v>
      </c>
    </row>
    <row r="110" spans="1:13" x14ac:dyDescent="0.3">
      <c r="A110" s="18">
        <v>34330469</v>
      </c>
      <c r="B110" s="13" t="s">
        <v>117</v>
      </c>
      <c r="C110" s="13" t="s">
        <v>458</v>
      </c>
      <c r="D110" s="34">
        <v>11256</v>
      </c>
      <c r="F110" s="7"/>
      <c r="G110" s="7">
        <f t="shared" si="4"/>
        <v>0</v>
      </c>
      <c r="H110" s="7">
        <f t="shared" si="5"/>
        <v>0</v>
      </c>
      <c r="I110" s="7"/>
      <c r="J110" s="7">
        <f t="shared" si="6"/>
        <v>0</v>
      </c>
      <c r="L110">
        <v>11256</v>
      </c>
      <c r="M110" t="b">
        <f t="shared" si="7"/>
        <v>1</v>
      </c>
    </row>
    <row r="111" spans="1:13" x14ac:dyDescent="0.3">
      <c r="A111" s="18">
        <v>34331612</v>
      </c>
      <c r="B111" s="13" t="s">
        <v>118</v>
      </c>
      <c r="C111" s="13" t="s">
        <v>459</v>
      </c>
      <c r="D111" s="34">
        <v>9916</v>
      </c>
      <c r="F111" s="7"/>
      <c r="G111" s="7">
        <f t="shared" si="4"/>
        <v>0</v>
      </c>
      <c r="H111" s="7">
        <f t="shared" si="5"/>
        <v>0</v>
      </c>
      <c r="I111" s="7"/>
      <c r="J111" s="7">
        <f t="shared" si="6"/>
        <v>0</v>
      </c>
      <c r="L111">
        <v>9916</v>
      </c>
      <c r="M111" t="b">
        <f t="shared" si="7"/>
        <v>1</v>
      </c>
    </row>
    <row r="112" spans="1:13" x14ac:dyDescent="0.3">
      <c r="A112" s="18">
        <v>39063227</v>
      </c>
      <c r="B112" s="13" t="s">
        <v>119</v>
      </c>
      <c r="C112" s="13" t="s">
        <v>460</v>
      </c>
      <c r="D112" s="34">
        <v>3953</v>
      </c>
      <c r="F112" s="7"/>
      <c r="G112" s="7">
        <f t="shared" si="4"/>
        <v>0</v>
      </c>
      <c r="H112" s="7">
        <f t="shared" si="5"/>
        <v>0</v>
      </c>
      <c r="I112" s="7"/>
      <c r="J112" s="7">
        <f t="shared" si="6"/>
        <v>0</v>
      </c>
      <c r="L112">
        <v>3953</v>
      </c>
      <c r="M112" t="b">
        <f t="shared" si="7"/>
        <v>1</v>
      </c>
    </row>
    <row r="113" spans="1:13" x14ac:dyDescent="0.3">
      <c r="A113" s="18">
        <v>15831347</v>
      </c>
      <c r="B113" s="13" t="s">
        <v>120</v>
      </c>
      <c r="C113" s="15" t="s">
        <v>744</v>
      </c>
      <c r="D113" s="34">
        <v>26398</v>
      </c>
      <c r="F113" s="7"/>
      <c r="G113" s="7">
        <f t="shared" si="4"/>
        <v>0</v>
      </c>
      <c r="H113" s="7">
        <f t="shared" si="5"/>
        <v>0</v>
      </c>
      <c r="I113" s="7"/>
      <c r="J113" s="7">
        <f t="shared" si="6"/>
        <v>0</v>
      </c>
      <c r="L113">
        <v>26398</v>
      </c>
      <c r="M113" t="b">
        <f t="shared" si="7"/>
        <v>1</v>
      </c>
    </row>
    <row r="114" spans="1:13" x14ac:dyDescent="0.3">
      <c r="A114" s="18">
        <v>12091621</v>
      </c>
      <c r="B114" s="13" t="s">
        <v>121</v>
      </c>
      <c r="C114" s="13" t="s">
        <v>461</v>
      </c>
      <c r="D114" s="34">
        <v>26398</v>
      </c>
      <c r="F114" s="7"/>
      <c r="G114" s="7">
        <f t="shared" si="4"/>
        <v>0</v>
      </c>
      <c r="H114" s="7">
        <f t="shared" si="5"/>
        <v>0</v>
      </c>
      <c r="I114" s="7"/>
      <c r="J114" s="7">
        <f t="shared" si="6"/>
        <v>0</v>
      </c>
      <c r="L114">
        <v>26398</v>
      </c>
      <c r="M114" t="b">
        <f t="shared" si="7"/>
        <v>1</v>
      </c>
    </row>
    <row r="115" spans="1:13" x14ac:dyDescent="0.3">
      <c r="A115" s="18">
        <v>16805855</v>
      </c>
      <c r="B115" s="13" t="s">
        <v>122</v>
      </c>
      <c r="C115" s="13" t="s">
        <v>462</v>
      </c>
      <c r="D115" s="34">
        <v>23383</v>
      </c>
      <c r="F115" s="7"/>
      <c r="G115" s="7">
        <f t="shared" si="4"/>
        <v>0</v>
      </c>
      <c r="H115" s="7">
        <f t="shared" si="5"/>
        <v>0</v>
      </c>
      <c r="I115" s="7"/>
      <c r="J115" s="7">
        <f t="shared" si="6"/>
        <v>0</v>
      </c>
      <c r="L115">
        <v>23383</v>
      </c>
      <c r="M115" t="b">
        <f t="shared" si="7"/>
        <v>1</v>
      </c>
    </row>
    <row r="116" spans="1:13" x14ac:dyDescent="0.3">
      <c r="A116" s="18">
        <v>15812678</v>
      </c>
      <c r="B116" s="13" t="s">
        <v>123</v>
      </c>
      <c r="C116" s="13" t="s">
        <v>463</v>
      </c>
      <c r="D116" s="34">
        <v>23048</v>
      </c>
      <c r="F116" s="7"/>
      <c r="G116" s="7">
        <f t="shared" si="4"/>
        <v>0</v>
      </c>
      <c r="H116" s="7">
        <f t="shared" si="5"/>
        <v>0</v>
      </c>
      <c r="I116" s="7"/>
      <c r="J116" s="7">
        <f t="shared" si="6"/>
        <v>0</v>
      </c>
      <c r="L116">
        <v>23048</v>
      </c>
      <c r="M116" t="b">
        <f t="shared" si="7"/>
        <v>1</v>
      </c>
    </row>
    <row r="117" spans="1:13" x14ac:dyDescent="0.3">
      <c r="A117" s="18">
        <v>12143581</v>
      </c>
      <c r="B117" s="13" t="s">
        <v>124</v>
      </c>
      <c r="C117" s="13" t="s">
        <v>464</v>
      </c>
      <c r="D117" s="34">
        <v>16348</v>
      </c>
      <c r="F117" s="7"/>
      <c r="G117" s="7">
        <f t="shared" si="4"/>
        <v>0</v>
      </c>
      <c r="H117" s="7">
        <f t="shared" si="5"/>
        <v>0</v>
      </c>
      <c r="I117" s="7"/>
      <c r="J117" s="7">
        <f t="shared" si="6"/>
        <v>0</v>
      </c>
      <c r="L117">
        <v>16348</v>
      </c>
      <c r="M117" t="b">
        <f t="shared" si="7"/>
        <v>1</v>
      </c>
    </row>
    <row r="118" spans="1:13" x14ac:dyDescent="0.3">
      <c r="A118" s="18">
        <v>11192165</v>
      </c>
      <c r="B118" s="13" t="s">
        <v>125</v>
      </c>
      <c r="C118" s="13" t="s">
        <v>465</v>
      </c>
      <c r="D118" s="34">
        <v>16348</v>
      </c>
      <c r="F118" s="7"/>
      <c r="G118" s="7">
        <f t="shared" si="4"/>
        <v>0</v>
      </c>
      <c r="H118" s="7">
        <f t="shared" si="5"/>
        <v>0</v>
      </c>
      <c r="I118" s="7"/>
      <c r="J118" s="7">
        <f t="shared" si="6"/>
        <v>0</v>
      </c>
      <c r="L118">
        <v>16348</v>
      </c>
      <c r="M118" t="b">
        <f t="shared" si="7"/>
        <v>1</v>
      </c>
    </row>
    <row r="119" spans="1:13" x14ac:dyDescent="0.3">
      <c r="A119" s="18">
        <v>11192163</v>
      </c>
      <c r="B119" s="13" t="s">
        <v>126</v>
      </c>
      <c r="C119" s="15" t="s">
        <v>743</v>
      </c>
      <c r="D119" s="34">
        <v>14338</v>
      </c>
      <c r="F119" s="7"/>
      <c r="G119" s="7">
        <f t="shared" si="4"/>
        <v>0</v>
      </c>
      <c r="H119" s="7">
        <f t="shared" si="5"/>
        <v>0</v>
      </c>
      <c r="I119" s="7"/>
      <c r="J119" s="7">
        <f t="shared" si="6"/>
        <v>0</v>
      </c>
      <c r="L119">
        <v>14338</v>
      </c>
      <c r="M119" t="b">
        <f t="shared" si="7"/>
        <v>1</v>
      </c>
    </row>
    <row r="120" spans="1:13" x14ac:dyDescent="0.3">
      <c r="A120" s="18">
        <v>12143584</v>
      </c>
      <c r="B120" s="13" t="s">
        <v>127</v>
      </c>
      <c r="C120" s="13" t="s">
        <v>466</v>
      </c>
      <c r="D120" s="34">
        <v>12998</v>
      </c>
      <c r="F120" s="7"/>
      <c r="G120" s="7">
        <f t="shared" si="4"/>
        <v>0</v>
      </c>
      <c r="H120" s="7">
        <f t="shared" si="5"/>
        <v>0</v>
      </c>
      <c r="I120" s="7"/>
      <c r="J120" s="7">
        <f t="shared" si="6"/>
        <v>0</v>
      </c>
      <c r="L120">
        <v>12998</v>
      </c>
      <c r="M120" t="b">
        <f t="shared" si="7"/>
        <v>1</v>
      </c>
    </row>
    <row r="121" spans="1:13" x14ac:dyDescent="0.3">
      <c r="A121" s="18">
        <v>11192167</v>
      </c>
      <c r="B121" s="13" t="s">
        <v>128</v>
      </c>
      <c r="C121" s="13" t="s">
        <v>467</v>
      </c>
      <c r="D121" s="34">
        <v>12998</v>
      </c>
      <c r="F121" s="7"/>
      <c r="G121" s="7">
        <f t="shared" si="4"/>
        <v>0</v>
      </c>
      <c r="H121" s="7">
        <f t="shared" si="5"/>
        <v>0</v>
      </c>
      <c r="I121" s="7"/>
      <c r="J121" s="7">
        <f t="shared" si="6"/>
        <v>0</v>
      </c>
      <c r="L121">
        <v>12998</v>
      </c>
      <c r="M121" t="b">
        <f t="shared" si="7"/>
        <v>1</v>
      </c>
    </row>
    <row r="122" spans="1:13" x14ac:dyDescent="0.3">
      <c r="A122" s="18">
        <v>12673238</v>
      </c>
      <c r="B122" s="13" t="s">
        <v>129</v>
      </c>
      <c r="C122" s="13" t="s">
        <v>468</v>
      </c>
      <c r="D122" s="34">
        <v>10653</v>
      </c>
      <c r="F122" s="7"/>
      <c r="G122" s="7">
        <f t="shared" si="4"/>
        <v>0</v>
      </c>
      <c r="H122" s="7">
        <f t="shared" si="5"/>
        <v>0</v>
      </c>
      <c r="I122" s="7"/>
      <c r="J122" s="7">
        <f t="shared" si="6"/>
        <v>0</v>
      </c>
      <c r="L122">
        <v>10653</v>
      </c>
      <c r="M122" t="b">
        <f t="shared" si="7"/>
        <v>1</v>
      </c>
    </row>
    <row r="123" spans="1:13" x14ac:dyDescent="0.3">
      <c r="A123" s="18">
        <v>15838517</v>
      </c>
      <c r="B123" s="13" t="s">
        <v>993</v>
      </c>
      <c r="C123" s="13" t="s">
        <v>469</v>
      </c>
      <c r="D123" s="34">
        <v>10318</v>
      </c>
      <c r="F123" s="7"/>
      <c r="G123" s="7">
        <f t="shared" si="4"/>
        <v>0</v>
      </c>
      <c r="H123" s="7">
        <f t="shared" si="5"/>
        <v>0</v>
      </c>
      <c r="I123" s="7"/>
      <c r="J123" s="7">
        <f t="shared" si="6"/>
        <v>0</v>
      </c>
      <c r="L123">
        <v>10318</v>
      </c>
      <c r="M123" t="b">
        <f t="shared" si="7"/>
        <v>1</v>
      </c>
    </row>
    <row r="124" spans="1:13" x14ac:dyDescent="0.3">
      <c r="A124" s="18">
        <v>12218847</v>
      </c>
      <c r="B124" s="13" t="s">
        <v>130</v>
      </c>
      <c r="C124" s="13" t="s">
        <v>470</v>
      </c>
      <c r="D124" s="34">
        <v>10318</v>
      </c>
      <c r="F124" s="7"/>
      <c r="G124" s="7">
        <f t="shared" si="4"/>
        <v>0</v>
      </c>
      <c r="H124" s="7">
        <f t="shared" si="5"/>
        <v>0</v>
      </c>
      <c r="I124" s="7"/>
      <c r="J124" s="7">
        <f t="shared" si="6"/>
        <v>0</v>
      </c>
      <c r="L124">
        <v>10318</v>
      </c>
      <c r="M124" t="b">
        <f t="shared" si="7"/>
        <v>1</v>
      </c>
    </row>
    <row r="125" spans="1:13" ht="27" x14ac:dyDescent="0.3">
      <c r="A125" s="18">
        <v>16171214</v>
      </c>
      <c r="B125" s="13" t="s">
        <v>924</v>
      </c>
      <c r="C125" s="13" t="s">
        <v>471</v>
      </c>
      <c r="D125" s="34">
        <v>9648</v>
      </c>
      <c r="F125" s="7"/>
      <c r="G125" s="7">
        <f t="shared" si="4"/>
        <v>0</v>
      </c>
      <c r="H125" s="7">
        <f t="shared" si="5"/>
        <v>0</v>
      </c>
      <c r="I125" s="7"/>
      <c r="J125" s="7">
        <f t="shared" si="6"/>
        <v>0</v>
      </c>
      <c r="L125">
        <v>9648</v>
      </c>
      <c r="M125" t="b">
        <f t="shared" si="7"/>
        <v>1</v>
      </c>
    </row>
    <row r="126" spans="1:13" x14ac:dyDescent="0.3">
      <c r="A126" s="18">
        <v>11291291</v>
      </c>
      <c r="B126" s="13" t="s">
        <v>131</v>
      </c>
      <c r="C126" s="13" t="s">
        <v>472</v>
      </c>
      <c r="D126" s="34">
        <v>8978</v>
      </c>
      <c r="F126" s="7"/>
      <c r="G126" s="7">
        <f t="shared" si="4"/>
        <v>0</v>
      </c>
      <c r="H126" s="7">
        <f t="shared" si="5"/>
        <v>0</v>
      </c>
      <c r="I126" s="7"/>
      <c r="J126" s="7">
        <f t="shared" si="6"/>
        <v>0</v>
      </c>
      <c r="L126">
        <v>8978</v>
      </c>
      <c r="M126" t="b">
        <f t="shared" si="7"/>
        <v>1</v>
      </c>
    </row>
    <row r="127" spans="1:13" x14ac:dyDescent="0.3">
      <c r="A127" s="18">
        <v>14134779</v>
      </c>
      <c r="B127" s="21" t="s">
        <v>132</v>
      </c>
      <c r="C127" s="16" t="s">
        <v>1020</v>
      </c>
      <c r="D127" s="34">
        <v>7638</v>
      </c>
      <c r="F127" s="7"/>
      <c r="G127" s="7">
        <f t="shared" si="4"/>
        <v>0</v>
      </c>
      <c r="H127" s="7">
        <f t="shared" si="5"/>
        <v>0</v>
      </c>
      <c r="I127" s="7"/>
      <c r="J127" s="7">
        <f t="shared" si="6"/>
        <v>0</v>
      </c>
      <c r="L127">
        <v>7638</v>
      </c>
      <c r="M127" t="b">
        <f t="shared" si="7"/>
        <v>1</v>
      </c>
    </row>
    <row r="128" spans="1:13" x14ac:dyDescent="0.3">
      <c r="A128" s="18">
        <v>14134778</v>
      </c>
      <c r="B128" s="21" t="s">
        <v>133</v>
      </c>
      <c r="C128" s="16" t="s">
        <v>1021</v>
      </c>
      <c r="D128" s="34">
        <v>7638</v>
      </c>
      <c r="F128" s="7"/>
      <c r="G128" s="7">
        <f t="shared" si="4"/>
        <v>0</v>
      </c>
      <c r="H128" s="7">
        <f t="shared" si="5"/>
        <v>0</v>
      </c>
      <c r="I128" s="7"/>
      <c r="J128" s="7">
        <f t="shared" si="6"/>
        <v>0</v>
      </c>
      <c r="L128">
        <v>7638</v>
      </c>
      <c r="M128" t="b">
        <f t="shared" si="7"/>
        <v>1</v>
      </c>
    </row>
    <row r="129" spans="1:13" x14ac:dyDescent="0.3">
      <c r="A129" s="18">
        <v>37790051</v>
      </c>
      <c r="B129" s="13" t="s">
        <v>134</v>
      </c>
      <c r="C129" s="13" t="s">
        <v>475</v>
      </c>
      <c r="D129" s="34">
        <v>5963</v>
      </c>
      <c r="F129" s="7"/>
      <c r="G129" s="7">
        <f t="shared" si="4"/>
        <v>0</v>
      </c>
      <c r="H129" s="7">
        <f t="shared" si="5"/>
        <v>0</v>
      </c>
      <c r="I129" s="7"/>
      <c r="J129" s="7">
        <f t="shared" si="6"/>
        <v>0</v>
      </c>
      <c r="L129">
        <v>5963</v>
      </c>
      <c r="M129" t="b">
        <f t="shared" si="7"/>
        <v>1</v>
      </c>
    </row>
    <row r="130" spans="1:13" x14ac:dyDescent="0.3">
      <c r="A130" s="18">
        <v>39071990</v>
      </c>
      <c r="B130" s="13" t="s">
        <v>135</v>
      </c>
      <c r="C130" s="13" t="s">
        <v>476</v>
      </c>
      <c r="D130" s="34">
        <v>3953</v>
      </c>
      <c r="F130" s="7"/>
      <c r="G130" s="7">
        <f t="shared" ref="G130:G193" si="8">IFERROR(VLOOKUP($F130,$A:$B,2,0),0)</f>
        <v>0</v>
      </c>
      <c r="H130" s="7">
        <f t="shared" ref="H130:H193" si="9">IFERROR(VLOOKUP($F130,$A:$D,3,0),0)</f>
        <v>0</v>
      </c>
      <c r="I130" s="7"/>
      <c r="J130" s="7">
        <f t="shared" ref="J130:J193" si="10">IFERROR(VLOOKUP($F130,$A:$D,4,0),0)</f>
        <v>0</v>
      </c>
      <c r="L130">
        <v>3953</v>
      </c>
      <c r="M130" t="b">
        <f t="shared" si="7"/>
        <v>1</v>
      </c>
    </row>
    <row r="131" spans="1:13" x14ac:dyDescent="0.3">
      <c r="A131" s="18">
        <v>39006857</v>
      </c>
      <c r="B131" s="13" t="s">
        <v>136</v>
      </c>
      <c r="C131" s="13" t="s">
        <v>477</v>
      </c>
      <c r="D131" s="34">
        <v>4623</v>
      </c>
      <c r="F131" s="7"/>
      <c r="G131" s="7">
        <f t="shared" si="8"/>
        <v>0</v>
      </c>
      <c r="H131" s="7">
        <f t="shared" si="9"/>
        <v>0</v>
      </c>
      <c r="I131" s="7"/>
      <c r="J131" s="7">
        <f t="shared" si="10"/>
        <v>0</v>
      </c>
      <c r="L131">
        <v>4623</v>
      </c>
      <c r="M131" t="b">
        <f t="shared" ref="M131:M193" si="11">D131=L131</f>
        <v>1</v>
      </c>
    </row>
    <row r="132" spans="1:13" x14ac:dyDescent="0.3">
      <c r="A132" s="18">
        <v>39006855</v>
      </c>
      <c r="B132" s="13" t="s">
        <v>137</v>
      </c>
      <c r="C132" s="13" t="s">
        <v>478</v>
      </c>
      <c r="D132" s="34">
        <v>4623</v>
      </c>
      <c r="F132" s="7"/>
      <c r="G132" s="7">
        <f t="shared" si="8"/>
        <v>0</v>
      </c>
      <c r="H132" s="7">
        <f t="shared" si="9"/>
        <v>0</v>
      </c>
      <c r="I132" s="7"/>
      <c r="J132" s="7">
        <f t="shared" si="10"/>
        <v>0</v>
      </c>
      <c r="L132">
        <v>4623</v>
      </c>
      <c r="M132" t="b">
        <f t="shared" si="11"/>
        <v>1</v>
      </c>
    </row>
    <row r="133" spans="1:13" x14ac:dyDescent="0.3">
      <c r="A133" s="18">
        <v>39006854</v>
      </c>
      <c r="B133" s="13" t="s">
        <v>138</v>
      </c>
      <c r="C133" s="13" t="s">
        <v>479</v>
      </c>
      <c r="D133" s="34">
        <v>4623</v>
      </c>
      <c r="F133" s="7"/>
      <c r="G133" s="7">
        <f t="shared" si="8"/>
        <v>0</v>
      </c>
      <c r="H133" s="7">
        <f t="shared" si="9"/>
        <v>0</v>
      </c>
      <c r="I133" s="7"/>
      <c r="J133" s="7">
        <f t="shared" si="10"/>
        <v>0</v>
      </c>
      <c r="L133">
        <v>4623</v>
      </c>
      <c r="M133" t="b">
        <f t="shared" si="11"/>
        <v>1</v>
      </c>
    </row>
    <row r="134" spans="1:13" x14ac:dyDescent="0.3">
      <c r="A134" s="18">
        <v>12434130</v>
      </c>
      <c r="B134" s="21" t="s">
        <v>139</v>
      </c>
      <c r="C134" s="16" t="s">
        <v>1022</v>
      </c>
      <c r="D134" s="34">
        <v>5963</v>
      </c>
      <c r="F134" s="7"/>
      <c r="G134" s="7">
        <f t="shared" si="8"/>
        <v>0</v>
      </c>
      <c r="H134" s="7">
        <f t="shared" si="9"/>
        <v>0</v>
      </c>
      <c r="I134" s="7"/>
      <c r="J134" s="7">
        <f t="shared" si="10"/>
        <v>0</v>
      </c>
      <c r="L134">
        <v>5963</v>
      </c>
      <c r="M134" t="b">
        <f t="shared" si="11"/>
        <v>1</v>
      </c>
    </row>
    <row r="135" spans="1:13" x14ac:dyDescent="0.3">
      <c r="A135" s="18">
        <v>11671480</v>
      </c>
      <c r="B135" s="21" t="s">
        <v>140</v>
      </c>
      <c r="C135" s="16" t="s">
        <v>1023</v>
      </c>
      <c r="D135" s="34">
        <v>5963</v>
      </c>
      <c r="F135" s="7"/>
      <c r="G135" s="7">
        <f t="shared" si="8"/>
        <v>0</v>
      </c>
      <c r="H135" s="7">
        <f t="shared" si="9"/>
        <v>0</v>
      </c>
      <c r="I135" s="7"/>
      <c r="J135" s="7">
        <f t="shared" si="10"/>
        <v>0</v>
      </c>
      <c r="L135">
        <v>5963</v>
      </c>
      <c r="M135" t="b">
        <f t="shared" si="11"/>
        <v>1</v>
      </c>
    </row>
    <row r="136" spans="1:13" x14ac:dyDescent="0.3">
      <c r="A136" s="18">
        <v>11192166</v>
      </c>
      <c r="B136" s="13" t="s">
        <v>141</v>
      </c>
      <c r="C136" s="13" t="s">
        <v>480</v>
      </c>
      <c r="D136" s="34">
        <v>5963</v>
      </c>
      <c r="F136" s="7"/>
      <c r="G136" s="7">
        <f t="shared" si="8"/>
        <v>0</v>
      </c>
      <c r="H136" s="7">
        <f t="shared" si="9"/>
        <v>0</v>
      </c>
      <c r="I136" s="7"/>
      <c r="J136" s="7">
        <f t="shared" si="10"/>
        <v>0</v>
      </c>
      <c r="L136">
        <v>5963</v>
      </c>
      <c r="M136" t="b">
        <f t="shared" si="11"/>
        <v>1</v>
      </c>
    </row>
    <row r="137" spans="1:13" x14ac:dyDescent="0.3">
      <c r="A137" s="18">
        <v>37594934</v>
      </c>
      <c r="B137" s="13" t="s">
        <v>142</v>
      </c>
      <c r="C137" s="13" t="s">
        <v>481</v>
      </c>
      <c r="D137" s="34">
        <v>3283</v>
      </c>
      <c r="F137" s="7"/>
      <c r="G137" s="7">
        <f t="shared" si="8"/>
        <v>0</v>
      </c>
      <c r="H137" s="7">
        <f t="shared" si="9"/>
        <v>0</v>
      </c>
      <c r="I137" s="7"/>
      <c r="J137" s="7">
        <f t="shared" si="10"/>
        <v>0</v>
      </c>
      <c r="L137">
        <v>3283</v>
      </c>
      <c r="M137" t="b">
        <f t="shared" si="11"/>
        <v>1</v>
      </c>
    </row>
    <row r="138" spans="1:13" x14ac:dyDescent="0.3">
      <c r="A138" s="18">
        <v>32548061</v>
      </c>
      <c r="B138" s="13" t="s">
        <v>143</v>
      </c>
      <c r="C138" s="13" t="s">
        <v>482</v>
      </c>
      <c r="D138" s="34">
        <v>4623</v>
      </c>
      <c r="F138" s="7"/>
      <c r="G138" s="7">
        <f t="shared" si="8"/>
        <v>0</v>
      </c>
      <c r="H138" s="7">
        <f t="shared" si="9"/>
        <v>0</v>
      </c>
      <c r="I138" s="7"/>
      <c r="J138" s="7">
        <f t="shared" si="10"/>
        <v>0</v>
      </c>
      <c r="L138">
        <v>4623</v>
      </c>
      <c r="M138" t="b">
        <f t="shared" si="11"/>
        <v>1</v>
      </c>
    </row>
    <row r="139" spans="1:13" x14ac:dyDescent="0.3">
      <c r="A139" s="18">
        <v>32711387</v>
      </c>
      <c r="B139" s="13" t="s">
        <v>144</v>
      </c>
      <c r="C139" s="13" t="s">
        <v>474</v>
      </c>
      <c r="D139" s="34">
        <v>4020</v>
      </c>
      <c r="F139" s="7"/>
      <c r="G139" s="7">
        <f t="shared" si="8"/>
        <v>0</v>
      </c>
      <c r="H139" s="7">
        <f t="shared" si="9"/>
        <v>0</v>
      </c>
      <c r="I139" s="7"/>
      <c r="J139" s="7">
        <f t="shared" si="10"/>
        <v>0</v>
      </c>
      <c r="L139">
        <v>4020</v>
      </c>
      <c r="M139" t="b">
        <f t="shared" si="11"/>
        <v>1</v>
      </c>
    </row>
    <row r="140" spans="1:13" x14ac:dyDescent="0.3">
      <c r="A140" s="18">
        <v>32710937</v>
      </c>
      <c r="B140" s="13" t="s">
        <v>145</v>
      </c>
      <c r="C140" s="13" t="s">
        <v>473</v>
      </c>
      <c r="D140" s="34">
        <v>4020</v>
      </c>
      <c r="F140" s="7"/>
      <c r="G140" s="7">
        <f t="shared" si="8"/>
        <v>0</v>
      </c>
      <c r="H140" s="7">
        <f t="shared" si="9"/>
        <v>0</v>
      </c>
      <c r="I140" s="7"/>
      <c r="J140" s="7">
        <f t="shared" si="10"/>
        <v>0</v>
      </c>
      <c r="L140">
        <v>4020</v>
      </c>
      <c r="M140" t="b">
        <f t="shared" si="11"/>
        <v>1</v>
      </c>
    </row>
    <row r="141" spans="1:13" x14ac:dyDescent="0.3">
      <c r="A141" s="18">
        <v>35876282</v>
      </c>
      <c r="B141" s="13" t="s">
        <v>146</v>
      </c>
      <c r="C141" s="13" t="s">
        <v>483</v>
      </c>
      <c r="D141" s="34">
        <v>3953</v>
      </c>
      <c r="F141" s="7"/>
      <c r="G141" s="7">
        <f t="shared" si="8"/>
        <v>0</v>
      </c>
      <c r="H141" s="7">
        <f t="shared" si="9"/>
        <v>0</v>
      </c>
      <c r="I141" s="7"/>
      <c r="J141" s="7">
        <f t="shared" si="10"/>
        <v>0</v>
      </c>
      <c r="L141">
        <v>3953</v>
      </c>
      <c r="M141" t="b">
        <f t="shared" si="11"/>
        <v>1</v>
      </c>
    </row>
    <row r="142" spans="1:13" x14ac:dyDescent="0.3">
      <c r="A142" s="18">
        <v>15702671</v>
      </c>
      <c r="B142" s="13" t="s">
        <v>147</v>
      </c>
      <c r="C142" s="13" t="s">
        <v>484</v>
      </c>
      <c r="D142" s="34">
        <v>3953</v>
      </c>
      <c r="F142" s="7"/>
      <c r="G142" s="7">
        <f t="shared" si="8"/>
        <v>0</v>
      </c>
      <c r="H142" s="7">
        <f t="shared" si="9"/>
        <v>0</v>
      </c>
      <c r="I142" s="7"/>
      <c r="J142" s="7">
        <f t="shared" si="10"/>
        <v>0</v>
      </c>
      <c r="L142">
        <v>3953</v>
      </c>
      <c r="M142" t="b">
        <f t="shared" si="11"/>
        <v>1</v>
      </c>
    </row>
    <row r="143" spans="1:13" x14ac:dyDescent="0.3">
      <c r="A143" s="18">
        <v>11229298</v>
      </c>
      <c r="B143" s="13" t="s">
        <v>18</v>
      </c>
      <c r="C143" s="13" t="s">
        <v>24</v>
      </c>
      <c r="D143" s="34">
        <v>23316</v>
      </c>
      <c r="F143" s="7"/>
      <c r="G143" s="7">
        <f t="shared" si="8"/>
        <v>0</v>
      </c>
      <c r="H143" s="7">
        <f t="shared" si="9"/>
        <v>0</v>
      </c>
      <c r="I143" s="7"/>
      <c r="J143" s="7">
        <f t="shared" si="10"/>
        <v>0</v>
      </c>
      <c r="L143">
        <v>23316</v>
      </c>
      <c r="M143" t="b">
        <f t="shared" si="11"/>
        <v>1</v>
      </c>
    </row>
    <row r="144" spans="1:13" x14ac:dyDescent="0.3">
      <c r="A144" s="18">
        <v>50709616</v>
      </c>
      <c r="B144" s="13" t="s">
        <v>149</v>
      </c>
      <c r="C144" s="13" t="s">
        <v>486</v>
      </c>
      <c r="D144" s="34">
        <v>58893</v>
      </c>
      <c r="F144" s="7"/>
      <c r="G144" s="7">
        <f t="shared" si="8"/>
        <v>0</v>
      </c>
      <c r="H144" s="7">
        <f t="shared" si="9"/>
        <v>0</v>
      </c>
      <c r="I144" s="7"/>
      <c r="J144" s="7">
        <f t="shared" si="10"/>
        <v>0</v>
      </c>
      <c r="L144">
        <v>58893</v>
      </c>
      <c r="M144" t="b">
        <f t="shared" si="11"/>
        <v>1</v>
      </c>
    </row>
    <row r="145" spans="1:13" x14ac:dyDescent="0.3">
      <c r="A145" s="18">
        <v>37034524</v>
      </c>
      <c r="B145" s="13" t="s">
        <v>150</v>
      </c>
      <c r="C145" s="13" t="s">
        <v>487</v>
      </c>
      <c r="D145" s="34">
        <v>118590</v>
      </c>
      <c r="F145" s="7"/>
      <c r="G145" s="7">
        <f t="shared" si="8"/>
        <v>0</v>
      </c>
      <c r="H145" s="7">
        <f t="shared" si="9"/>
        <v>0</v>
      </c>
      <c r="I145" s="7"/>
      <c r="J145" s="7">
        <f t="shared" si="10"/>
        <v>0</v>
      </c>
      <c r="L145">
        <v>118590</v>
      </c>
      <c r="M145" t="b">
        <f t="shared" si="11"/>
        <v>1</v>
      </c>
    </row>
    <row r="146" spans="1:13" x14ac:dyDescent="0.3">
      <c r="A146" s="19">
        <v>14299890</v>
      </c>
      <c r="B146" s="20" t="s">
        <v>151</v>
      </c>
      <c r="C146" s="14" t="s">
        <v>699</v>
      </c>
      <c r="D146" s="34">
        <v>118590</v>
      </c>
      <c r="F146" s="7"/>
      <c r="G146" s="7">
        <f t="shared" si="8"/>
        <v>0</v>
      </c>
      <c r="H146" s="7">
        <f t="shared" si="9"/>
        <v>0</v>
      </c>
      <c r="I146" s="7"/>
      <c r="J146" s="7">
        <f t="shared" si="10"/>
        <v>0</v>
      </c>
      <c r="L146">
        <v>118590</v>
      </c>
      <c r="M146" t="b">
        <f t="shared" si="11"/>
        <v>1</v>
      </c>
    </row>
    <row r="147" spans="1:13" x14ac:dyDescent="0.3">
      <c r="A147" s="18">
        <v>13195811</v>
      </c>
      <c r="B147" s="13" t="s">
        <v>152</v>
      </c>
      <c r="C147" s="13" t="s">
        <v>488</v>
      </c>
      <c r="D147" s="34">
        <v>91790</v>
      </c>
      <c r="F147" s="7"/>
      <c r="G147" s="7">
        <f t="shared" si="8"/>
        <v>0</v>
      </c>
      <c r="H147" s="7">
        <f t="shared" si="9"/>
        <v>0</v>
      </c>
      <c r="I147" s="7"/>
      <c r="J147" s="7">
        <f t="shared" si="10"/>
        <v>0</v>
      </c>
      <c r="L147">
        <v>91790</v>
      </c>
      <c r="M147" t="b">
        <f t="shared" si="11"/>
        <v>1</v>
      </c>
    </row>
    <row r="148" spans="1:13" x14ac:dyDescent="0.3">
      <c r="A148" s="18">
        <v>36608029</v>
      </c>
      <c r="B148" s="13" t="s">
        <v>153</v>
      </c>
      <c r="C148" s="13" t="s">
        <v>489</v>
      </c>
      <c r="D148" s="34">
        <v>46230</v>
      </c>
      <c r="F148" s="7"/>
      <c r="G148" s="7">
        <f t="shared" si="8"/>
        <v>0</v>
      </c>
      <c r="H148" s="7">
        <f t="shared" si="9"/>
        <v>0</v>
      </c>
      <c r="I148" s="7"/>
      <c r="J148" s="7">
        <f t="shared" si="10"/>
        <v>0</v>
      </c>
      <c r="L148">
        <v>46230</v>
      </c>
      <c r="M148" t="b">
        <f t="shared" si="11"/>
        <v>1</v>
      </c>
    </row>
    <row r="149" spans="1:13" x14ac:dyDescent="0.3">
      <c r="A149" s="19">
        <v>13195957</v>
      </c>
      <c r="B149" s="20" t="s">
        <v>154</v>
      </c>
      <c r="C149" s="13" t="s">
        <v>490</v>
      </c>
      <c r="D149" s="34">
        <v>64990</v>
      </c>
      <c r="F149" s="7"/>
      <c r="G149" s="7">
        <f t="shared" si="8"/>
        <v>0</v>
      </c>
      <c r="H149" s="7">
        <f t="shared" si="9"/>
        <v>0</v>
      </c>
      <c r="I149" s="7"/>
      <c r="J149" s="7">
        <f t="shared" si="10"/>
        <v>0</v>
      </c>
      <c r="L149">
        <v>64990</v>
      </c>
      <c r="M149" t="b">
        <f t="shared" si="11"/>
        <v>1</v>
      </c>
    </row>
    <row r="150" spans="1:13" x14ac:dyDescent="0.3">
      <c r="A150" s="18">
        <v>10121189</v>
      </c>
      <c r="B150" s="13" t="s">
        <v>155</v>
      </c>
      <c r="C150" s="13" t="s">
        <v>491</v>
      </c>
      <c r="D150" s="34">
        <v>64990</v>
      </c>
      <c r="F150" s="7"/>
      <c r="G150" s="7">
        <f t="shared" si="8"/>
        <v>0</v>
      </c>
      <c r="H150" s="7">
        <f t="shared" si="9"/>
        <v>0</v>
      </c>
      <c r="I150" s="7"/>
      <c r="J150" s="7">
        <f t="shared" si="10"/>
        <v>0</v>
      </c>
      <c r="L150">
        <v>64990</v>
      </c>
      <c r="M150" t="b">
        <f t="shared" si="11"/>
        <v>1</v>
      </c>
    </row>
    <row r="151" spans="1:13" x14ac:dyDescent="0.3">
      <c r="A151" s="18">
        <v>8122806</v>
      </c>
      <c r="B151" s="13" t="s">
        <v>156</v>
      </c>
      <c r="C151" s="14" t="s">
        <v>700</v>
      </c>
      <c r="D151" s="34">
        <v>45560</v>
      </c>
      <c r="F151" s="7"/>
      <c r="G151" s="7">
        <f t="shared" si="8"/>
        <v>0</v>
      </c>
      <c r="H151" s="7">
        <f t="shared" si="9"/>
        <v>0</v>
      </c>
      <c r="I151" s="7"/>
      <c r="J151" s="7">
        <f t="shared" si="10"/>
        <v>0</v>
      </c>
      <c r="L151">
        <v>52930</v>
      </c>
      <c r="M151" t="b">
        <f t="shared" si="11"/>
        <v>0</v>
      </c>
    </row>
    <row r="152" spans="1:13" x14ac:dyDescent="0.3">
      <c r="A152" s="18">
        <v>48477550</v>
      </c>
      <c r="B152" s="13" t="s">
        <v>157</v>
      </c>
      <c r="C152" s="13" t="s">
        <v>492</v>
      </c>
      <c r="D152" s="34">
        <v>51590</v>
      </c>
      <c r="F152" s="7"/>
      <c r="G152" s="7">
        <f t="shared" si="8"/>
        <v>0</v>
      </c>
      <c r="H152" s="7">
        <f t="shared" si="9"/>
        <v>0</v>
      </c>
      <c r="I152" s="7"/>
      <c r="J152" s="7">
        <f t="shared" si="10"/>
        <v>0</v>
      </c>
      <c r="L152">
        <v>51590</v>
      </c>
      <c r="M152" t="b">
        <f t="shared" si="11"/>
        <v>1</v>
      </c>
    </row>
    <row r="153" spans="1:13" x14ac:dyDescent="0.3">
      <c r="A153" s="18">
        <v>11288089</v>
      </c>
      <c r="B153" s="13" t="s">
        <v>158</v>
      </c>
      <c r="C153" s="13" t="s">
        <v>493</v>
      </c>
      <c r="D153" s="34">
        <v>52863</v>
      </c>
      <c r="F153" s="7"/>
      <c r="G153" s="7">
        <f t="shared" si="8"/>
        <v>0</v>
      </c>
      <c r="H153" s="7">
        <f t="shared" si="9"/>
        <v>0</v>
      </c>
      <c r="I153" s="7"/>
      <c r="J153" s="7">
        <f t="shared" si="10"/>
        <v>0</v>
      </c>
      <c r="L153">
        <v>52863</v>
      </c>
      <c r="M153" t="b">
        <f t="shared" si="11"/>
        <v>1</v>
      </c>
    </row>
    <row r="154" spans="1:13" x14ac:dyDescent="0.3">
      <c r="A154" s="18">
        <v>11104533</v>
      </c>
      <c r="B154" s="13" t="s">
        <v>159</v>
      </c>
      <c r="C154" s="13" t="s">
        <v>494</v>
      </c>
      <c r="D154" s="34">
        <v>51590</v>
      </c>
      <c r="F154" s="7"/>
      <c r="G154" s="7">
        <f t="shared" si="8"/>
        <v>0</v>
      </c>
      <c r="H154" s="7">
        <f t="shared" si="9"/>
        <v>0</v>
      </c>
      <c r="I154" s="7"/>
      <c r="J154" s="7">
        <f t="shared" si="10"/>
        <v>0</v>
      </c>
      <c r="L154">
        <v>51590</v>
      </c>
      <c r="M154" t="b">
        <f t="shared" si="11"/>
        <v>1</v>
      </c>
    </row>
    <row r="155" spans="1:13" x14ac:dyDescent="0.3">
      <c r="A155" s="19">
        <v>10124384</v>
      </c>
      <c r="B155" s="20" t="s">
        <v>160</v>
      </c>
      <c r="C155" s="13" t="s">
        <v>495</v>
      </c>
      <c r="D155" s="34">
        <v>52193</v>
      </c>
      <c r="F155" s="7"/>
      <c r="G155" s="7">
        <f t="shared" si="8"/>
        <v>0</v>
      </c>
      <c r="H155" s="7">
        <f t="shared" si="9"/>
        <v>0</v>
      </c>
      <c r="I155" s="7"/>
      <c r="J155" s="7">
        <f t="shared" si="10"/>
        <v>0</v>
      </c>
      <c r="L155">
        <v>52193</v>
      </c>
      <c r="M155" t="b">
        <f t="shared" si="11"/>
        <v>1</v>
      </c>
    </row>
    <row r="156" spans="1:13" x14ac:dyDescent="0.3">
      <c r="A156" s="18">
        <v>46995055</v>
      </c>
      <c r="B156" s="13" t="s">
        <v>161</v>
      </c>
      <c r="C156" s="13" t="s">
        <v>496</v>
      </c>
      <c r="D156" s="34">
        <v>44890</v>
      </c>
      <c r="F156" s="7"/>
      <c r="G156" s="7">
        <f t="shared" si="8"/>
        <v>0</v>
      </c>
      <c r="H156" s="7">
        <f t="shared" si="9"/>
        <v>0</v>
      </c>
      <c r="I156" s="7"/>
      <c r="J156" s="7">
        <f t="shared" si="10"/>
        <v>0</v>
      </c>
      <c r="L156">
        <v>44890</v>
      </c>
      <c r="M156" t="b">
        <f t="shared" si="11"/>
        <v>1</v>
      </c>
    </row>
    <row r="157" spans="1:13" x14ac:dyDescent="0.3">
      <c r="A157" s="19">
        <v>11744316</v>
      </c>
      <c r="B157" s="20" t="s">
        <v>162</v>
      </c>
      <c r="C157" s="13" t="s">
        <v>497</v>
      </c>
      <c r="D157" s="34">
        <v>45560</v>
      </c>
      <c r="F157" s="7"/>
      <c r="G157" s="7">
        <f t="shared" si="8"/>
        <v>0</v>
      </c>
      <c r="H157" s="7">
        <f t="shared" si="9"/>
        <v>0</v>
      </c>
      <c r="I157" s="7"/>
      <c r="J157" s="7">
        <f t="shared" si="10"/>
        <v>0</v>
      </c>
      <c r="L157">
        <v>45560</v>
      </c>
      <c r="M157" t="b">
        <f t="shared" si="11"/>
        <v>1</v>
      </c>
    </row>
    <row r="158" spans="1:13" x14ac:dyDescent="0.3">
      <c r="A158" s="19">
        <v>13069194</v>
      </c>
      <c r="B158" s="20" t="s">
        <v>163</v>
      </c>
      <c r="C158" s="13" t="s">
        <v>498</v>
      </c>
      <c r="D158" s="34">
        <v>42746</v>
      </c>
      <c r="F158" s="7"/>
      <c r="G158" s="7">
        <f t="shared" si="8"/>
        <v>0</v>
      </c>
      <c r="H158" s="7">
        <f t="shared" si="9"/>
        <v>0</v>
      </c>
      <c r="I158" s="7"/>
      <c r="J158" s="7">
        <f t="shared" si="10"/>
        <v>0</v>
      </c>
      <c r="L158">
        <v>42746</v>
      </c>
      <c r="M158" t="b">
        <f t="shared" si="11"/>
        <v>1</v>
      </c>
    </row>
    <row r="159" spans="1:13" x14ac:dyDescent="0.3">
      <c r="A159" s="18">
        <v>19365568</v>
      </c>
      <c r="B159" s="13" t="s">
        <v>164</v>
      </c>
      <c r="C159" s="13" t="s">
        <v>499</v>
      </c>
      <c r="D159" s="34">
        <v>38190</v>
      </c>
      <c r="F159" s="7"/>
      <c r="G159" s="7">
        <f t="shared" si="8"/>
        <v>0</v>
      </c>
      <c r="H159" s="7">
        <f t="shared" si="9"/>
        <v>0</v>
      </c>
      <c r="I159" s="7"/>
      <c r="J159" s="7">
        <f t="shared" si="10"/>
        <v>0</v>
      </c>
      <c r="L159">
        <v>38190</v>
      </c>
      <c r="M159" t="b">
        <f t="shared" si="11"/>
        <v>1</v>
      </c>
    </row>
    <row r="160" spans="1:13" x14ac:dyDescent="0.3">
      <c r="A160" s="18">
        <v>47861038</v>
      </c>
      <c r="B160" s="13" t="s">
        <v>20</v>
      </c>
      <c r="C160" s="13" t="s">
        <v>694</v>
      </c>
      <c r="D160" s="34">
        <v>25326</v>
      </c>
      <c r="F160" s="7"/>
      <c r="G160" s="7">
        <f t="shared" si="8"/>
        <v>0</v>
      </c>
      <c r="H160" s="7">
        <f t="shared" si="9"/>
        <v>0</v>
      </c>
      <c r="I160" s="7"/>
      <c r="J160" s="7">
        <f t="shared" si="10"/>
        <v>0</v>
      </c>
      <c r="L160">
        <v>25326</v>
      </c>
      <c r="M160" t="b">
        <f t="shared" si="11"/>
        <v>1</v>
      </c>
    </row>
    <row r="161" spans="1:13" x14ac:dyDescent="0.3">
      <c r="A161" s="18">
        <v>43252471</v>
      </c>
      <c r="B161" s="13" t="s">
        <v>165</v>
      </c>
      <c r="C161" s="13" t="s">
        <v>500</v>
      </c>
      <c r="D161" s="34">
        <v>32026</v>
      </c>
      <c r="F161" s="7"/>
      <c r="G161" s="7">
        <f t="shared" si="8"/>
        <v>0</v>
      </c>
      <c r="H161" s="7">
        <f t="shared" si="9"/>
        <v>0</v>
      </c>
      <c r="I161" s="7"/>
      <c r="J161" s="7">
        <f t="shared" si="10"/>
        <v>0</v>
      </c>
      <c r="L161">
        <v>32026</v>
      </c>
      <c r="M161" t="b">
        <f t="shared" si="11"/>
        <v>1</v>
      </c>
    </row>
    <row r="162" spans="1:13" x14ac:dyDescent="0.3">
      <c r="A162" s="18">
        <v>4125381</v>
      </c>
      <c r="B162" s="13" t="s">
        <v>166</v>
      </c>
      <c r="C162" s="13" t="s">
        <v>501</v>
      </c>
      <c r="D162" s="34">
        <v>30016</v>
      </c>
      <c r="F162" s="7"/>
      <c r="G162" s="7">
        <f t="shared" si="8"/>
        <v>0</v>
      </c>
      <c r="H162" s="7">
        <f t="shared" si="9"/>
        <v>0</v>
      </c>
      <c r="I162" s="7"/>
      <c r="J162" s="7">
        <f t="shared" si="10"/>
        <v>0</v>
      </c>
      <c r="L162">
        <v>30016</v>
      </c>
      <c r="M162" t="b">
        <f t="shared" si="11"/>
        <v>1</v>
      </c>
    </row>
    <row r="163" spans="1:13" x14ac:dyDescent="0.3">
      <c r="A163" s="18">
        <v>38183281</v>
      </c>
      <c r="B163" s="13" t="s">
        <v>167</v>
      </c>
      <c r="C163" s="14" t="s">
        <v>701</v>
      </c>
      <c r="D163" s="34">
        <v>26666</v>
      </c>
      <c r="F163" s="7"/>
      <c r="G163" s="7">
        <f t="shared" si="8"/>
        <v>0</v>
      </c>
      <c r="H163" s="7">
        <f t="shared" si="9"/>
        <v>0</v>
      </c>
      <c r="I163" s="7"/>
      <c r="J163" s="7">
        <f t="shared" si="10"/>
        <v>0</v>
      </c>
      <c r="L163">
        <v>26666</v>
      </c>
      <c r="M163" t="b">
        <f t="shared" si="11"/>
        <v>1</v>
      </c>
    </row>
    <row r="164" spans="1:13" x14ac:dyDescent="0.3">
      <c r="A164" s="18">
        <v>14107560</v>
      </c>
      <c r="B164" s="13" t="s">
        <v>168</v>
      </c>
      <c r="C164" s="13" t="s">
        <v>502</v>
      </c>
      <c r="D164" s="34">
        <v>30016</v>
      </c>
      <c r="F164" s="7"/>
      <c r="G164" s="7">
        <f t="shared" si="8"/>
        <v>0</v>
      </c>
      <c r="H164" s="7">
        <f t="shared" si="9"/>
        <v>0</v>
      </c>
      <c r="I164" s="7"/>
      <c r="J164" s="7">
        <f t="shared" si="10"/>
        <v>0</v>
      </c>
      <c r="L164">
        <v>30016</v>
      </c>
      <c r="M164" t="b">
        <f t="shared" si="11"/>
        <v>1</v>
      </c>
    </row>
    <row r="165" spans="1:13" x14ac:dyDescent="0.3">
      <c r="A165" s="18">
        <v>44916947</v>
      </c>
      <c r="B165" s="13" t="s">
        <v>169</v>
      </c>
      <c r="C165" s="13" t="s">
        <v>503</v>
      </c>
      <c r="D165" s="34">
        <v>22713</v>
      </c>
      <c r="F165" s="7"/>
      <c r="G165" s="7">
        <f t="shared" si="8"/>
        <v>0</v>
      </c>
      <c r="H165" s="7">
        <f t="shared" si="9"/>
        <v>0</v>
      </c>
      <c r="I165" s="7"/>
      <c r="J165" s="7">
        <f t="shared" si="10"/>
        <v>0</v>
      </c>
      <c r="L165">
        <v>22713</v>
      </c>
      <c r="M165" t="b">
        <f t="shared" si="11"/>
        <v>1</v>
      </c>
    </row>
    <row r="166" spans="1:13" x14ac:dyDescent="0.3">
      <c r="A166" s="18">
        <v>40640374</v>
      </c>
      <c r="B166" s="13" t="s">
        <v>170</v>
      </c>
      <c r="C166" s="14" t="s">
        <v>702</v>
      </c>
      <c r="D166" s="34">
        <v>26666</v>
      </c>
      <c r="F166" s="7"/>
      <c r="G166" s="7">
        <f t="shared" si="8"/>
        <v>0</v>
      </c>
      <c r="H166" s="7">
        <f t="shared" si="9"/>
        <v>0</v>
      </c>
      <c r="I166" s="7"/>
      <c r="J166" s="7">
        <f t="shared" si="10"/>
        <v>0</v>
      </c>
      <c r="L166">
        <v>26666</v>
      </c>
      <c r="M166" t="b">
        <f t="shared" si="11"/>
        <v>1</v>
      </c>
    </row>
    <row r="167" spans="1:13" x14ac:dyDescent="0.3">
      <c r="A167" s="18">
        <v>13745117</v>
      </c>
      <c r="B167" s="13" t="s">
        <v>171</v>
      </c>
      <c r="C167" s="13" t="s">
        <v>504</v>
      </c>
      <c r="D167" s="34">
        <v>26666</v>
      </c>
      <c r="F167" s="7"/>
      <c r="G167" s="7">
        <f t="shared" si="8"/>
        <v>0</v>
      </c>
      <c r="H167" s="7">
        <f t="shared" si="9"/>
        <v>0</v>
      </c>
      <c r="I167" s="7"/>
      <c r="J167" s="7">
        <f t="shared" si="10"/>
        <v>0</v>
      </c>
      <c r="L167">
        <v>26666</v>
      </c>
      <c r="M167" t="b">
        <f t="shared" si="11"/>
        <v>1</v>
      </c>
    </row>
    <row r="168" spans="1:13" x14ac:dyDescent="0.3">
      <c r="A168" s="18">
        <v>15414324</v>
      </c>
      <c r="B168" s="13" t="s">
        <v>172</v>
      </c>
      <c r="C168" s="13" t="s">
        <v>505</v>
      </c>
      <c r="D168" s="34">
        <v>25326</v>
      </c>
      <c r="F168" s="7"/>
      <c r="G168" s="7">
        <f t="shared" si="8"/>
        <v>0</v>
      </c>
      <c r="H168" s="7">
        <f t="shared" si="9"/>
        <v>0</v>
      </c>
      <c r="I168" s="7"/>
      <c r="J168" s="7">
        <f t="shared" si="10"/>
        <v>0</v>
      </c>
      <c r="L168">
        <v>25326</v>
      </c>
      <c r="M168" t="b">
        <f t="shared" si="11"/>
        <v>1</v>
      </c>
    </row>
    <row r="169" spans="1:13" x14ac:dyDescent="0.3">
      <c r="A169" s="18">
        <v>35192489</v>
      </c>
      <c r="B169" s="13" t="s">
        <v>173</v>
      </c>
      <c r="C169" s="14" t="s">
        <v>703</v>
      </c>
      <c r="D169" s="34">
        <v>26666</v>
      </c>
      <c r="F169" s="7"/>
      <c r="G169" s="7">
        <f t="shared" si="8"/>
        <v>0</v>
      </c>
      <c r="H169" s="7">
        <f t="shared" si="9"/>
        <v>0</v>
      </c>
      <c r="I169" s="7"/>
      <c r="J169" s="7">
        <f t="shared" si="10"/>
        <v>0</v>
      </c>
      <c r="L169">
        <v>26666</v>
      </c>
      <c r="M169" t="b">
        <f t="shared" si="11"/>
        <v>1</v>
      </c>
    </row>
    <row r="170" spans="1:13" x14ac:dyDescent="0.3">
      <c r="A170" s="18">
        <v>40982029</v>
      </c>
      <c r="B170" s="13" t="s">
        <v>174</v>
      </c>
      <c r="C170" s="14" t="s">
        <v>704</v>
      </c>
      <c r="D170" s="34">
        <v>23316</v>
      </c>
      <c r="F170" s="7"/>
      <c r="G170" s="7">
        <f t="shared" si="8"/>
        <v>0</v>
      </c>
      <c r="H170" s="7">
        <f t="shared" si="9"/>
        <v>0</v>
      </c>
      <c r="I170" s="7"/>
      <c r="J170" s="7">
        <f t="shared" si="10"/>
        <v>0</v>
      </c>
      <c r="L170">
        <v>23316</v>
      </c>
      <c r="M170" t="b">
        <f t="shared" si="11"/>
        <v>1</v>
      </c>
    </row>
    <row r="171" spans="1:13" x14ac:dyDescent="0.3">
      <c r="A171" s="18">
        <v>10858043</v>
      </c>
      <c r="B171" s="13" t="s">
        <v>175</v>
      </c>
      <c r="C171" s="13" t="s">
        <v>506</v>
      </c>
      <c r="D171" s="34">
        <v>16181</v>
      </c>
      <c r="F171" s="7"/>
      <c r="G171" s="7">
        <f t="shared" si="8"/>
        <v>0</v>
      </c>
      <c r="H171" s="7">
        <f t="shared" si="9"/>
        <v>0</v>
      </c>
      <c r="I171" s="7"/>
      <c r="J171" s="7">
        <f t="shared" si="10"/>
        <v>0</v>
      </c>
      <c r="L171">
        <v>16181</v>
      </c>
      <c r="M171" t="b">
        <f t="shared" si="11"/>
        <v>1</v>
      </c>
    </row>
    <row r="172" spans="1:13" x14ac:dyDescent="0.3">
      <c r="A172" s="18">
        <v>4125377</v>
      </c>
      <c r="B172" s="13" t="s">
        <v>176</v>
      </c>
      <c r="C172" s="13" t="s">
        <v>507</v>
      </c>
      <c r="D172" s="34">
        <v>21976</v>
      </c>
      <c r="F172" s="7"/>
      <c r="G172" s="7">
        <f t="shared" si="8"/>
        <v>0</v>
      </c>
      <c r="H172" s="7">
        <f t="shared" si="9"/>
        <v>0</v>
      </c>
      <c r="I172" s="7"/>
      <c r="J172" s="7">
        <f t="shared" si="10"/>
        <v>0</v>
      </c>
      <c r="L172">
        <v>21976</v>
      </c>
      <c r="M172" t="b">
        <f t="shared" si="11"/>
        <v>1</v>
      </c>
    </row>
    <row r="173" spans="1:13" x14ac:dyDescent="0.3">
      <c r="A173" s="18">
        <v>26426530</v>
      </c>
      <c r="B173" s="13" t="s">
        <v>177</v>
      </c>
      <c r="C173" s="13" t="s">
        <v>508</v>
      </c>
      <c r="D173" s="34">
        <v>21976</v>
      </c>
      <c r="F173" s="7"/>
      <c r="G173" s="7">
        <f t="shared" si="8"/>
        <v>0</v>
      </c>
      <c r="H173" s="7">
        <f t="shared" si="9"/>
        <v>0</v>
      </c>
      <c r="I173" s="7"/>
      <c r="J173" s="7">
        <f t="shared" si="10"/>
        <v>0</v>
      </c>
      <c r="L173">
        <v>21976</v>
      </c>
      <c r="M173" t="b">
        <f t="shared" si="11"/>
        <v>1</v>
      </c>
    </row>
    <row r="174" spans="1:13" x14ac:dyDescent="0.3">
      <c r="A174" s="18">
        <v>18980681</v>
      </c>
      <c r="B174" s="13" t="s">
        <v>21</v>
      </c>
      <c r="C174" s="13" t="s">
        <v>26</v>
      </c>
      <c r="D174" s="34">
        <v>19966</v>
      </c>
      <c r="F174" s="7"/>
      <c r="G174" s="7">
        <f t="shared" si="8"/>
        <v>0</v>
      </c>
      <c r="H174" s="7">
        <f t="shared" si="9"/>
        <v>0</v>
      </c>
      <c r="I174" s="7"/>
      <c r="J174" s="7">
        <f t="shared" si="10"/>
        <v>0</v>
      </c>
      <c r="L174">
        <v>19966</v>
      </c>
      <c r="M174" t="b">
        <f t="shared" si="11"/>
        <v>1</v>
      </c>
    </row>
    <row r="175" spans="1:13" x14ac:dyDescent="0.3">
      <c r="A175" s="18">
        <v>12439390</v>
      </c>
      <c r="B175" s="13" t="s">
        <v>178</v>
      </c>
      <c r="C175" s="13" t="s">
        <v>509</v>
      </c>
      <c r="D175" s="34">
        <v>19966</v>
      </c>
      <c r="F175" s="7"/>
      <c r="G175" s="7">
        <f t="shared" si="8"/>
        <v>0</v>
      </c>
      <c r="H175" s="7">
        <f t="shared" si="9"/>
        <v>0</v>
      </c>
      <c r="I175" s="7"/>
      <c r="J175" s="7">
        <f t="shared" si="10"/>
        <v>0</v>
      </c>
      <c r="L175">
        <v>19966</v>
      </c>
      <c r="M175" t="b">
        <f t="shared" si="11"/>
        <v>1</v>
      </c>
    </row>
    <row r="176" spans="1:13" ht="17.25" thickBot="1" x14ac:dyDescent="0.35">
      <c r="A176" s="18">
        <v>12263239</v>
      </c>
      <c r="B176" s="13" t="s">
        <v>179</v>
      </c>
      <c r="C176" s="13" t="s">
        <v>510</v>
      </c>
      <c r="D176" s="34">
        <v>19966</v>
      </c>
      <c r="F176" s="7"/>
      <c r="G176" s="7">
        <f t="shared" si="8"/>
        <v>0</v>
      </c>
      <c r="H176" s="7">
        <f t="shared" si="9"/>
        <v>0</v>
      </c>
      <c r="I176" s="7"/>
      <c r="J176" s="7">
        <f t="shared" si="10"/>
        <v>0</v>
      </c>
      <c r="L176">
        <v>19966</v>
      </c>
      <c r="M176" t="b">
        <f t="shared" si="11"/>
        <v>1</v>
      </c>
    </row>
    <row r="177" spans="1:13" ht="17.25" thickBot="1" x14ac:dyDescent="0.35">
      <c r="A177" s="18">
        <v>50725354</v>
      </c>
      <c r="B177" s="24" t="s">
        <v>994</v>
      </c>
      <c r="C177" s="13" t="s">
        <v>511</v>
      </c>
      <c r="D177" s="34">
        <v>32026</v>
      </c>
      <c r="F177" s="7"/>
      <c r="G177" s="7">
        <f t="shared" si="8"/>
        <v>0</v>
      </c>
      <c r="H177" s="7">
        <f t="shared" si="9"/>
        <v>0</v>
      </c>
      <c r="I177" s="7"/>
      <c r="J177" s="7">
        <f t="shared" si="10"/>
        <v>0</v>
      </c>
      <c r="L177">
        <v>32026</v>
      </c>
      <c r="M177" t="b">
        <f t="shared" si="11"/>
        <v>1</v>
      </c>
    </row>
    <row r="178" spans="1:13" x14ac:dyDescent="0.3">
      <c r="A178" s="18">
        <v>16179047</v>
      </c>
      <c r="B178" s="13" t="s">
        <v>180</v>
      </c>
      <c r="C178" s="13" t="s">
        <v>512</v>
      </c>
      <c r="D178" s="34">
        <v>42900</v>
      </c>
      <c r="F178" s="7"/>
      <c r="G178" s="7">
        <f t="shared" si="8"/>
        <v>0</v>
      </c>
      <c r="H178" s="7">
        <f t="shared" si="9"/>
        <v>0</v>
      </c>
      <c r="I178" s="7"/>
      <c r="J178" s="7">
        <f t="shared" si="10"/>
        <v>0</v>
      </c>
      <c r="L178">
        <v>42900</v>
      </c>
      <c r="M178" t="b">
        <f t="shared" si="11"/>
        <v>1</v>
      </c>
    </row>
    <row r="179" spans="1:13" x14ac:dyDescent="0.3">
      <c r="A179" s="19">
        <v>20815743</v>
      </c>
      <c r="B179" s="20" t="s">
        <v>181</v>
      </c>
      <c r="C179" s="13" t="s">
        <v>513</v>
      </c>
      <c r="D179" s="34">
        <v>35200</v>
      </c>
      <c r="F179" s="7"/>
      <c r="G179" s="7">
        <f t="shared" si="8"/>
        <v>0</v>
      </c>
      <c r="H179" s="7">
        <f t="shared" si="9"/>
        <v>0</v>
      </c>
      <c r="I179" s="7"/>
      <c r="J179" s="7">
        <f t="shared" si="10"/>
        <v>0</v>
      </c>
      <c r="L179">
        <v>35200</v>
      </c>
      <c r="M179" t="b">
        <f t="shared" si="11"/>
        <v>1</v>
      </c>
    </row>
    <row r="180" spans="1:13" x14ac:dyDescent="0.3">
      <c r="A180" s="18">
        <v>39651008</v>
      </c>
      <c r="B180" s="13" t="s">
        <v>182</v>
      </c>
      <c r="C180" s="13" t="s">
        <v>514</v>
      </c>
      <c r="D180" s="34">
        <v>161850</v>
      </c>
      <c r="F180" s="7"/>
      <c r="G180" s="7">
        <f t="shared" si="8"/>
        <v>0</v>
      </c>
      <c r="H180" s="7">
        <f t="shared" si="9"/>
        <v>0</v>
      </c>
      <c r="I180" s="7"/>
      <c r="J180" s="7">
        <f t="shared" si="10"/>
        <v>0</v>
      </c>
      <c r="L180">
        <v>161850</v>
      </c>
      <c r="M180" t="b">
        <f t="shared" si="11"/>
        <v>1</v>
      </c>
    </row>
    <row r="181" spans="1:13" x14ac:dyDescent="0.3">
      <c r="A181" s="19">
        <v>15941944</v>
      </c>
      <c r="B181" s="20" t="s">
        <v>183</v>
      </c>
      <c r="C181" s="13" t="s">
        <v>515</v>
      </c>
      <c r="D181" s="34">
        <v>25000</v>
      </c>
      <c r="F181" s="7"/>
      <c r="G181" s="7">
        <f t="shared" si="8"/>
        <v>0</v>
      </c>
      <c r="H181" s="7">
        <f t="shared" si="9"/>
        <v>0</v>
      </c>
      <c r="I181" s="7"/>
      <c r="J181" s="7">
        <f t="shared" si="10"/>
        <v>0</v>
      </c>
      <c r="L181">
        <v>25000</v>
      </c>
      <c r="M181" t="b">
        <f t="shared" si="11"/>
        <v>1</v>
      </c>
    </row>
    <row r="182" spans="1:13" x14ac:dyDescent="0.3">
      <c r="A182" s="19">
        <v>42839047</v>
      </c>
      <c r="B182" s="20" t="s">
        <v>184</v>
      </c>
      <c r="C182" s="13" t="s">
        <v>516</v>
      </c>
      <c r="D182" s="34">
        <v>41930</v>
      </c>
      <c r="F182" s="7"/>
      <c r="G182" s="7">
        <f t="shared" si="8"/>
        <v>0</v>
      </c>
      <c r="H182" s="7">
        <f t="shared" si="9"/>
        <v>0</v>
      </c>
      <c r="I182" s="7"/>
      <c r="J182" s="7">
        <f t="shared" si="10"/>
        <v>0</v>
      </c>
      <c r="L182">
        <v>41930</v>
      </c>
      <c r="M182" t="b">
        <f t="shared" si="11"/>
        <v>1</v>
      </c>
    </row>
    <row r="183" spans="1:13" x14ac:dyDescent="0.3">
      <c r="A183" s="18">
        <v>38455497</v>
      </c>
      <c r="B183" s="13" t="s">
        <v>185</v>
      </c>
      <c r="C183" s="13" t="s">
        <v>517</v>
      </c>
      <c r="D183" s="34">
        <v>76800</v>
      </c>
      <c r="F183" s="7"/>
      <c r="G183" s="7">
        <f t="shared" si="8"/>
        <v>0</v>
      </c>
      <c r="H183" s="7">
        <f t="shared" si="9"/>
        <v>0</v>
      </c>
      <c r="I183" s="7"/>
      <c r="J183" s="7">
        <f t="shared" si="10"/>
        <v>0</v>
      </c>
      <c r="L183">
        <v>76800</v>
      </c>
      <c r="M183" t="b">
        <f t="shared" si="11"/>
        <v>1</v>
      </c>
    </row>
    <row r="184" spans="1:13" x14ac:dyDescent="0.3">
      <c r="A184" s="18">
        <v>37173787</v>
      </c>
      <c r="B184" s="13" t="s">
        <v>186</v>
      </c>
      <c r="C184" s="13" t="s">
        <v>518</v>
      </c>
      <c r="D184" s="34">
        <v>23500</v>
      </c>
      <c r="F184" s="7"/>
      <c r="G184" s="7">
        <f t="shared" si="8"/>
        <v>0</v>
      </c>
      <c r="H184" s="7">
        <f t="shared" si="9"/>
        <v>0</v>
      </c>
      <c r="I184" s="7"/>
      <c r="J184" s="7">
        <f t="shared" si="10"/>
        <v>0</v>
      </c>
      <c r="L184">
        <v>23500</v>
      </c>
      <c r="M184" t="b">
        <f t="shared" si="11"/>
        <v>1</v>
      </c>
    </row>
    <row r="185" spans="1:13" x14ac:dyDescent="0.3">
      <c r="A185" s="18">
        <v>42913903</v>
      </c>
      <c r="B185" s="13" t="s">
        <v>187</v>
      </c>
      <c r="C185" s="13" t="s">
        <v>519</v>
      </c>
      <c r="D185" s="34">
        <v>49446</v>
      </c>
      <c r="F185" s="7"/>
      <c r="G185" s="7">
        <f t="shared" si="8"/>
        <v>0</v>
      </c>
      <c r="H185" s="7">
        <f t="shared" si="9"/>
        <v>0</v>
      </c>
      <c r="I185" s="7"/>
      <c r="J185" s="7">
        <f t="shared" si="10"/>
        <v>0</v>
      </c>
      <c r="L185">
        <v>49446</v>
      </c>
      <c r="M185" t="b">
        <f t="shared" si="11"/>
        <v>1</v>
      </c>
    </row>
    <row r="186" spans="1:13" x14ac:dyDescent="0.3">
      <c r="A186" s="18">
        <v>41864123</v>
      </c>
      <c r="B186" s="13" t="s">
        <v>188</v>
      </c>
      <c r="C186" s="14" t="s">
        <v>705</v>
      </c>
      <c r="D186" s="34">
        <v>19966</v>
      </c>
      <c r="F186" s="7"/>
      <c r="G186" s="7">
        <f t="shared" si="8"/>
        <v>0</v>
      </c>
      <c r="H186" s="7">
        <f t="shared" si="9"/>
        <v>0</v>
      </c>
      <c r="I186" s="7"/>
      <c r="J186" s="7">
        <f t="shared" si="10"/>
        <v>0</v>
      </c>
      <c r="L186">
        <v>19966</v>
      </c>
      <c r="M186" t="b">
        <f t="shared" si="11"/>
        <v>1</v>
      </c>
    </row>
    <row r="187" spans="1:13" x14ac:dyDescent="0.3">
      <c r="A187" s="19">
        <v>4152612</v>
      </c>
      <c r="B187" s="20" t="s">
        <v>189</v>
      </c>
      <c r="C187" s="13" t="s">
        <v>520</v>
      </c>
      <c r="D187" s="34">
        <v>26599</v>
      </c>
      <c r="F187" s="7"/>
      <c r="G187" s="7">
        <f t="shared" si="8"/>
        <v>0</v>
      </c>
      <c r="H187" s="7">
        <f t="shared" si="9"/>
        <v>0</v>
      </c>
      <c r="I187" s="7"/>
      <c r="J187" s="7">
        <f t="shared" si="10"/>
        <v>0</v>
      </c>
      <c r="L187">
        <v>26599</v>
      </c>
      <c r="M187" t="b">
        <f t="shared" si="11"/>
        <v>1</v>
      </c>
    </row>
    <row r="188" spans="1:13" x14ac:dyDescent="0.3">
      <c r="A188" s="19">
        <v>4152610</v>
      </c>
      <c r="B188" s="20" t="s">
        <v>190</v>
      </c>
      <c r="C188" s="13" t="s">
        <v>521</v>
      </c>
      <c r="D188" s="34">
        <v>26599</v>
      </c>
      <c r="F188" s="7"/>
      <c r="G188" s="7">
        <f t="shared" si="8"/>
        <v>0</v>
      </c>
      <c r="H188" s="7">
        <f t="shared" si="9"/>
        <v>0</v>
      </c>
      <c r="I188" s="7"/>
      <c r="J188" s="7">
        <f t="shared" si="10"/>
        <v>0</v>
      </c>
      <c r="L188">
        <v>26599</v>
      </c>
      <c r="M188" t="b">
        <f t="shared" si="11"/>
        <v>1</v>
      </c>
    </row>
    <row r="189" spans="1:13" x14ac:dyDescent="0.3">
      <c r="A189" s="19">
        <v>35896315</v>
      </c>
      <c r="B189" s="20" t="s">
        <v>191</v>
      </c>
      <c r="C189" s="13" t="s">
        <v>522</v>
      </c>
      <c r="D189" s="34">
        <v>23316</v>
      </c>
      <c r="F189" s="7"/>
      <c r="G189" s="7">
        <f t="shared" si="8"/>
        <v>0</v>
      </c>
      <c r="H189" s="7">
        <f t="shared" si="9"/>
        <v>0</v>
      </c>
      <c r="I189" s="7"/>
      <c r="J189" s="7">
        <f t="shared" si="10"/>
        <v>0</v>
      </c>
      <c r="L189">
        <v>23316</v>
      </c>
      <c r="M189" t="b">
        <f t="shared" si="11"/>
        <v>1</v>
      </c>
    </row>
    <row r="190" spans="1:13" x14ac:dyDescent="0.3">
      <c r="A190" s="18">
        <v>31743599</v>
      </c>
      <c r="B190" s="13" t="s">
        <v>192</v>
      </c>
      <c r="C190" s="13" t="s">
        <v>523</v>
      </c>
      <c r="D190" s="34">
        <v>20033</v>
      </c>
      <c r="F190" s="7"/>
      <c r="G190" s="7">
        <f t="shared" si="8"/>
        <v>0</v>
      </c>
      <c r="H190" s="7">
        <f t="shared" si="9"/>
        <v>0</v>
      </c>
      <c r="I190" s="7"/>
      <c r="J190" s="7">
        <f t="shared" si="10"/>
        <v>0</v>
      </c>
      <c r="L190">
        <v>20033</v>
      </c>
      <c r="M190" t="b">
        <f t="shared" si="11"/>
        <v>1</v>
      </c>
    </row>
    <row r="191" spans="1:13" x14ac:dyDescent="0.3">
      <c r="A191" s="18">
        <v>4152608</v>
      </c>
      <c r="B191" s="13" t="s">
        <v>193</v>
      </c>
      <c r="C191" s="13" t="s">
        <v>524</v>
      </c>
      <c r="D191" s="34">
        <v>16616</v>
      </c>
      <c r="F191" s="7"/>
      <c r="G191" s="7">
        <f t="shared" si="8"/>
        <v>0</v>
      </c>
      <c r="H191" s="7">
        <f t="shared" si="9"/>
        <v>0</v>
      </c>
      <c r="I191" s="7"/>
      <c r="J191" s="7">
        <f t="shared" si="10"/>
        <v>0</v>
      </c>
      <c r="L191">
        <v>16616</v>
      </c>
      <c r="M191" t="b">
        <f t="shared" si="11"/>
        <v>1</v>
      </c>
    </row>
    <row r="192" spans="1:13" x14ac:dyDescent="0.3">
      <c r="A192" s="18">
        <v>4152606</v>
      </c>
      <c r="B192" s="13" t="s">
        <v>194</v>
      </c>
      <c r="C192" s="13" t="s">
        <v>525</v>
      </c>
      <c r="D192" s="34">
        <v>16616</v>
      </c>
      <c r="F192" s="7"/>
      <c r="G192" s="7">
        <f t="shared" si="8"/>
        <v>0</v>
      </c>
      <c r="H192" s="7">
        <f t="shared" si="9"/>
        <v>0</v>
      </c>
      <c r="I192" s="7"/>
      <c r="J192" s="7">
        <f t="shared" si="10"/>
        <v>0</v>
      </c>
      <c r="L192">
        <v>16616</v>
      </c>
      <c r="M192" t="b">
        <f t="shared" si="11"/>
        <v>1</v>
      </c>
    </row>
    <row r="193" spans="1:13" x14ac:dyDescent="0.3">
      <c r="A193" s="18">
        <v>34098917</v>
      </c>
      <c r="B193" s="13" t="s">
        <v>195</v>
      </c>
      <c r="C193" s="13" t="s">
        <v>526</v>
      </c>
      <c r="D193" s="34">
        <v>14606</v>
      </c>
      <c r="F193" s="7"/>
      <c r="G193" s="7">
        <f t="shared" si="8"/>
        <v>0</v>
      </c>
      <c r="H193" s="7">
        <f t="shared" si="9"/>
        <v>0</v>
      </c>
      <c r="I193" s="7"/>
      <c r="J193" s="7">
        <f t="shared" si="10"/>
        <v>0</v>
      </c>
      <c r="L193">
        <v>14606</v>
      </c>
      <c r="M193" t="b">
        <f t="shared" si="11"/>
        <v>1</v>
      </c>
    </row>
    <row r="194" spans="1:13" x14ac:dyDescent="0.3">
      <c r="A194" s="18">
        <v>34801754</v>
      </c>
      <c r="B194" s="13" t="s">
        <v>196</v>
      </c>
      <c r="C194" s="13" t="s">
        <v>527</v>
      </c>
      <c r="D194" s="34">
        <v>23436</v>
      </c>
      <c r="F194" s="7"/>
      <c r="G194" s="7">
        <f t="shared" ref="G194:G257" si="12">IFERROR(VLOOKUP($F194,$A:$B,2,0),0)</f>
        <v>0</v>
      </c>
      <c r="H194" s="7">
        <f t="shared" ref="H194:H257" si="13">IFERROR(VLOOKUP($F194,$A:$D,3,0),0)</f>
        <v>0</v>
      </c>
      <c r="I194" s="7"/>
      <c r="J194" s="7">
        <f t="shared" ref="J194:J257" si="14">IFERROR(VLOOKUP($F194,$A:$D,4,0),0)</f>
        <v>0</v>
      </c>
      <c r="L194">
        <v>23436</v>
      </c>
      <c r="M194" t="b">
        <f t="shared" ref="M194:M257" si="15">D194=L194</f>
        <v>1</v>
      </c>
    </row>
    <row r="195" spans="1:13" x14ac:dyDescent="0.3">
      <c r="A195" s="18">
        <v>37639889</v>
      </c>
      <c r="B195" s="13" t="s">
        <v>197</v>
      </c>
      <c r="C195" s="13" t="s">
        <v>528</v>
      </c>
      <c r="D195" s="34">
        <v>16368</v>
      </c>
      <c r="F195" s="7"/>
      <c r="G195" s="7">
        <f t="shared" si="12"/>
        <v>0</v>
      </c>
      <c r="H195" s="7">
        <f t="shared" si="13"/>
        <v>0</v>
      </c>
      <c r="I195" s="7"/>
      <c r="J195" s="7">
        <f t="shared" si="14"/>
        <v>0</v>
      </c>
      <c r="L195">
        <v>16368</v>
      </c>
      <c r="M195" t="b">
        <f t="shared" si="15"/>
        <v>1</v>
      </c>
    </row>
    <row r="196" spans="1:13" x14ac:dyDescent="0.3">
      <c r="A196" s="18">
        <v>51533853</v>
      </c>
      <c r="B196" s="13" t="s">
        <v>198</v>
      </c>
      <c r="C196" s="13" t="s">
        <v>529</v>
      </c>
      <c r="D196" s="34">
        <v>40066</v>
      </c>
      <c r="F196" s="7"/>
      <c r="G196" s="7">
        <f t="shared" si="12"/>
        <v>0</v>
      </c>
      <c r="H196" s="7">
        <f t="shared" si="13"/>
        <v>0</v>
      </c>
      <c r="I196" s="7"/>
      <c r="J196" s="7">
        <f t="shared" si="14"/>
        <v>0</v>
      </c>
      <c r="L196">
        <v>40066</v>
      </c>
      <c r="M196" t="b">
        <f t="shared" si="15"/>
        <v>1</v>
      </c>
    </row>
    <row r="197" spans="1:13" x14ac:dyDescent="0.25">
      <c r="A197" s="23">
        <v>49985232</v>
      </c>
      <c r="B197" s="13" t="s">
        <v>199</v>
      </c>
      <c r="C197" s="13" t="s">
        <v>530</v>
      </c>
      <c r="D197" s="34">
        <v>98490</v>
      </c>
      <c r="F197" s="7"/>
      <c r="G197" s="7">
        <f t="shared" si="12"/>
        <v>0</v>
      </c>
      <c r="H197" s="7">
        <f t="shared" si="13"/>
        <v>0</v>
      </c>
      <c r="I197" s="7"/>
      <c r="J197" s="7">
        <f t="shared" si="14"/>
        <v>0</v>
      </c>
      <c r="L197">
        <v>98490</v>
      </c>
      <c r="M197" t="b">
        <f t="shared" si="15"/>
        <v>1</v>
      </c>
    </row>
    <row r="198" spans="1:13" x14ac:dyDescent="0.3">
      <c r="A198" s="19">
        <v>50155408</v>
      </c>
      <c r="B198" s="20" t="s">
        <v>200</v>
      </c>
      <c r="C198" s="13" t="s">
        <v>531</v>
      </c>
      <c r="D198" s="34">
        <v>30016</v>
      </c>
      <c r="F198" s="7"/>
      <c r="G198" s="7">
        <f t="shared" si="12"/>
        <v>0</v>
      </c>
      <c r="H198" s="7">
        <f t="shared" si="13"/>
        <v>0</v>
      </c>
      <c r="I198" s="7"/>
      <c r="J198" s="7">
        <f t="shared" si="14"/>
        <v>0</v>
      </c>
      <c r="L198">
        <v>30016</v>
      </c>
      <c r="M198" t="b">
        <f t="shared" si="15"/>
        <v>1</v>
      </c>
    </row>
    <row r="199" spans="1:13" x14ac:dyDescent="0.3">
      <c r="A199" s="19">
        <v>35401181</v>
      </c>
      <c r="B199" s="20" t="s">
        <v>201</v>
      </c>
      <c r="C199" s="13" t="s">
        <v>532</v>
      </c>
      <c r="D199" s="34">
        <v>86430</v>
      </c>
      <c r="F199" s="7"/>
      <c r="G199" s="7">
        <f t="shared" si="12"/>
        <v>0</v>
      </c>
      <c r="H199" s="7">
        <f t="shared" si="13"/>
        <v>0</v>
      </c>
      <c r="I199" s="7"/>
      <c r="J199" s="7">
        <f t="shared" si="14"/>
        <v>0</v>
      </c>
      <c r="L199">
        <v>86430</v>
      </c>
      <c r="M199" t="b">
        <f t="shared" si="15"/>
        <v>1</v>
      </c>
    </row>
    <row r="200" spans="1:13" x14ac:dyDescent="0.3">
      <c r="A200" s="19">
        <v>38157908</v>
      </c>
      <c r="B200" s="20" t="s">
        <v>202</v>
      </c>
      <c r="C200" s="13" t="s">
        <v>533</v>
      </c>
      <c r="D200" s="34">
        <v>86430</v>
      </c>
      <c r="F200" s="7"/>
      <c r="G200" s="7">
        <f t="shared" si="12"/>
        <v>0</v>
      </c>
      <c r="H200" s="7">
        <f t="shared" si="13"/>
        <v>0</v>
      </c>
      <c r="I200" s="7"/>
      <c r="J200" s="7">
        <f t="shared" si="14"/>
        <v>0</v>
      </c>
      <c r="L200">
        <v>86430</v>
      </c>
      <c r="M200" t="b">
        <f t="shared" si="15"/>
        <v>1</v>
      </c>
    </row>
    <row r="201" spans="1:13" x14ac:dyDescent="0.3">
      <c r="A201" s="18">
        <v>41662266</v>
      </c>
      <c r="B201" s="13" t="s">
        <v>203</v>
      </c>
      <c r="C201" s="13" t="s">
        <v>534</v>
      </c>
      <c r="D201" s="34">
        <v>98490</v>
      </c>
      <c r="F201" s="7"/>
      <c r="G201" s="7">
        <f t="shared" si="12"/>
        <v>0</v>
      </c>
      <c r="H201" s="7">
        <f t="shared" si="13"/>
        <v>0</v>
      </c>
      <c r="I201" s="7"/>
      <c r="J201" s="7">
        <f t="shared" si="14"/>
        <v>0</v>
      </c>
      <c r="L201">
        <v>98490</v>
      </c>
      <c r="M201" t="b">
        <f t="shared" si="15"/>
        <v>1</v>
      </c>
    </row>
    <row r="202" spans="1:13" x14ac:dyDescent="0.3">
      <c r="A202" s="18">
        <v>47936724</v>
      </c>
      <c r="B202" s="13" t="s">
        <v>204</v>
      </c>
      <c r="C202" s="13" t="s">
        <v>535</v>
      </c>
      <c r="D202" s="34">
        <v>43416</v>
      </c>
      <c r="F202" s="7"/>
      <c r="G202" s="7">
        <f t="shared" si="12"/>
        <v>0</v>
      </c>
      <c r="H202" s="7">
        <f t="shared" si="13"/>
        <v>0</v>
      </c>
      <c r="I202" s="7"/>
      <c r="J202" s="7">
        <f t="shared" si="14"/>
        <v>0</v>
      </c>
      <c r="L202">
        <v>43416</v>
      </c>
      <c r="M202" t="b">
        <f t="shared" si="15"/>
        <v>1</v>
      </c>
    </row>
    <row r="203" spans="1:13" x14ac:dyDescent="0.3">
      <c r="A203" s="18">
        <v>38417806</v>
      </c>
      <c r="B203" s="13" t="s">
        <v>995</v>
      </c>
      <c r="C203" s="13" t="s">
        <v>536</v>
      </c>
      <c r="D203" s="34">
        <v>36716</v>
      </c>
      <c r="F203" s="7"/>
      <c r="G203" s="7">
        <f t="shared" si="12"/>
        <v>0</v>
      </c>
      <c r="H203" s="7">
        <f t="shared" si="13"/>
        <v>0</v>
      </c>
      <c r="I203" s="7"/>
      <c r="J203" s="7">
        <f t="shared" si="14"/>
        <v>0</v>
      </c>
      <c r="L203">
        <v>36716</v>
      </c>
      <c r="M203" t="b">
        <f t="shared" si="15"/>
        <v>1</v>
      </c>
    </row>
    <row r="204" spans="1:13" x14ac:dyDescent="0.3">
      <c r="A204" s="18">
        <v>38158208</v>
      </c>
      <c r="B204" s="13" t="s">
        <v>205</v>
      </c>
      <c r="C204" s="13" t="s">
        <v>537</v>
      </c>
      <c r="D204" s="34">
        <v>33366</v>
      </c>
      <c r="F204" s="7"/>
      <c r="G204" s="7">
        <f t="shared" si="12"/>
        <v>0</v>
      </c>
      <c r="H204" s="7">
        <f t="shared" si="13"/>
        <v>0</v>
      </c>
      <c r="I204" s="7"/>
      <c r="J204" s="7">
        <f t="shared" si="14"/>
        <v>0</v>
      </c>
      <c r="L204">
        <v>33366</v>
      </c>
      <c r="M204" t="b">
        <f t="shared" si="15"/>
        <v>1</v>
      </c>
    </row>
    <row r="205" spans="1:13" x14ac:dyDescent="0.3">
      <c r="A205" s="18">
        <v>12263163</v>
      </c>
      <c r="B205" s="13" t="s">
        <v>206</v>
      </c>
      <c r="C205" s="13" t="s">
        <v>538</v>
      </c>
      <c r="D205" s="34">
        <v>33366</v>
      </c>
      <c r="F205" s="7"/>
      <c r="G205" s="7">
        <f t="shared" si="12"/>
        <v>0</v>
      </c>
      <c r="H205" s="7">
        <f t="shared" si="13"/>
        <v>0</v>
      </c>
      <c r="I205" s="7"/>
      <c r="J205" s="7">
        <f t="shared" si="14"/>
        <v>0</v>
      </c>
      <c r="L205">
        <v>33366</v>
      </c>
      <c r="M205" t="b">
        <f t="shared" si="15"/>
        <v>1</v>
      </c>
    </row>
    <row r="206" spans="1:13" x14ac:dyDescent="0.3">
      <c r="A206" s="18">
        <v>15826960</v>
      </c>
      <c r="B206" s="13" t="s">
        <v>207</v>
      </c>
      <c r="C206" s="13" t="s">
        <v>539</v>
      </c>
      <c r="D206" s="34">
        <v>32026</v>
      </c>
      <c r="F206" s="7"/>
      <c r="G206" s="7">
        <f t="shared" si="12"/>
        <v>0</v>
      </c>
      <c r="H206" s="7">
        <f t="shared" si="13"/>
        <v>0</v>
      </c>
      <c r="I206" s="7"/>
      <c r="J206" s="7">
        <f t="shared" si="14"/>
        <v>0</v>
      </c>
      <c r="L206">
        <v>32026</v>
      </c>
      <c r="M206" t="b">
        <f t="shared" si="15"/>
        <v>1</v>
      </c>
    </row>
    <row r="207" spans="1:13" x14ac:dyDescent="0.3">
      <c r="A207" s="19">
        <v>13573385</v>
      </c>
      <c r="B207" s="20" t="s">
        <v>208</v>
      </c>
      <c r="C207" s="13" t="s">
        <v>540</v>
      </c>
      <c r="D207" s="34">
        <v>32026</v>
      </c>
      <c r="F207" s="7"/>
      <c r="G207" s="7">
        <f t="shared" si="12"/>
        <v>0</v>
      </c>
      <c r="H207" s="7">
        <f t="shared" si="13"/>
        <v>0</v>
      </c>
      <c r="I207" s="7"/>
      <c r="J207" s="7">
        <f t="shared" si="14"/>
        <v>0</v>
      </c>
      <c r="L207">
        <v>32026</v>
      </c>
      <c r="M207" t="b">
        <f t="shared" si="15"/>
        <v>1</v>
      </c>
    </row>
    <row r="208" spans="1:13" x14ac:dyDescent="0.3">
      <c r="A208" s="18">
        <v>42871700</v>
      </c>
      <c r="B208" s="13" t="s">
        <v>209</v>
      </c>
      <c r="C208" s="13" t="s">
        <v>541</v>
      </c>
      <c r="D208" s="34">
        <v>26733</v>
      </c>
      <c r="F208" s="7"/>
      <c r="G208" s="7">
        <f t="shared" si="12"/>
        <v>0</v>
      </c>
      <c r="H208" s="7">
        <f t="shared" si="13"/>
        <v>0</v>
      </c>
      <c r="I208" s="7"/>
      <c r="J208" s="7">
        <f t="shared" si="14"/>
        <v>0</v>
      </c>
      <c r="L208">
        <v>26733</v>
      </c>
      <c r="M208" t="b">
        <f t="shared" si="15"/>
        <v>1</v>
      </c>
    </row>
    <row r="209" spans="1:13" x14ac:dyDescent="0.3">
      <c r="A209" s="19">
        <v>39257536</v>
      </c>
      <c r="B209" s="20" t="s">
        <v>210</v>
      </c>
      <c r="C209" s="13" t="s">
        <v>542</v>
      </c>
      <c r="D209" s="34">
        <v>30016</v>
      </c>
      <c r="F209" s="7"/>
      <c r="G209" s="7">
        <f t="shared" si="12"/>
        <v>0</v>
      </c>
      <c r="H209" s="7">
        <f t="shared" si="13"/>
        <v>0</v>
      </c>
      <c r="I209" s="7"/>
      <c r="J209" s="7">
        <f t="shared" si="14"/>
        <v>0</v>
      </c>
      <c r="L209">
        <v>30016</v>
      </c>
      <c r="M209" t="b">
        <f t="shared" si="15"/>
        <v>1</v>
      </c>
    </row>
    <row r="210" spans="1:13" x14ac:dyDescent="0.3">
      <c r="A210" s="19">
        <v>36802614</v>
      </c>
      <c r="B210" s="20" t="s">
        <v>211</v>
      </c>
      <c r="C210" s="13" t="s">
        <v>543</v>
      </c>
      <c r="D210" s="34">
        <v>25326</v>
      </c>
      <c r="F210" s="7"/>
      <c r="G210" s="7">
        <f t="shared" si="12"/>
        <v>0</v>
      </c>
      <c r="H210" s="7">
        <f t="shared" si="13"/>
        <v>0</v>
      </c>
      <c r="I210" s="7"/>
      <c r="J210" s="7">
        <f t="shared" si="14"/>
        <v>0</v>
      </c>
      <c r="L210">
        <v>25326</v>
      </c>
      <c r="M210" t="b">
        <f t="shared" si="15"/>
        <v>1</v>
      </c>
    </row>
    <row r="211" spans="1:13" x14ac:dyDescent="0.3">
      <c r="A211" s="19">
        <v>35149611</v>
      </c>
      <c r="B211" s="20" t="s">
        <v>212</v>
      </c>
      <c r="C211" s="13" t="s">
        <v>544</v>
      </c>
      <c r="D211" s="34">
        <v>30016</v>
      </c>
      <c r="F211" s="7"/>
      <c r="G211" s="7">
        <f t="shared" si="12"/>
        <v>0</v>
      </c>
      <c r="H211" s="7">
        <f t="shared" si="13"/>
        <v>0</v>
      </c>
      <c r="I211" s="7"/>
      <c r="J211" s="7">
        <f t="shared" si="14"/>
        <v>0</v>
      </c>
      <c r="L211">
        <v>30016</v>
      </c>
      <c r="M211" t="b">
        <f t="shared" si="15"/>
        <v>1</v>
      </c>
    </row>
    <row r="212" spans="1:13" x14ac:dyDescent="0.3">
      <c r="A212" s="19">
        <v>26196255</v>
      </c>
      <c r="B212" s="20" t="s">
        <v>213</v>
      </c>
      <c r="C212" s="13" t="s">
        <v>545</v>
      </c>
      <c r="D212" s="34">
        <v>30016</v>
      </c>
      <c r="F212" s="7"/>
      <c r="G212" s="7">
        <f t="shared" si="12"/>
        <v>0</v>
      </c>
      <c r="H212" s="7">
        <f t="shared" si="13"/>
        <v>0</v>
      </c>
      <c r="I212" s="7"/>
      <c r="J212" s="7">
        <f t="shared" si="14"/>
        <v>0</v>
      </c>
      <c r="L212">
        <v>30016</v>
      </c>
      <c r="M212" t="b">
        <f t="shared" si="15"/>
        <v>1</v>
      </c>
    </row>
    <row r="213" spans="1:13" x14ac:dyDescent="0.3">
      <c r="A213" s="18">
        <v>11156528</v>
      </c>
      <c r="B213" s="13" t="s">
        <v>214</v>
      </c>
      <c r="C213" s="13" t="s">
        <v>546</v>
      </c>
      <c r="D213" s="34">
        <v>30016</v>
      </c>
      <c r="F213" s="7"/>
      <c r="G213" s="7">
        <f t="shared" si="12"/>
        <v>0</v>
      </c>
      <c r="H213" s="7">
        <f t="shared" si="13"/>
        <v>0</v>
      </c>
      <c r="I213" s="7"/>
      <c r="J213" s="7">
        <f t="shared" si="14"/>
        <v>0</v>
      </c>
      <c r="L213">
        <v>30016</v>
      </c>
      <c r="M213" t="b">
        <f t="shared" si="15"/>
        <v>1</v>
      </c>
    </row>
    <row r="214" spans="1:13" x14ac:dyDescent="0.3">
      <c r="A214" s="18">
        <v>38415503</v>
      </c>
      <c r="B214" s="13" t="s">
        <v>1024</v>
      </c>
      <c r="C214" s="13" t="s">
        <v>547</v>
      </c>
      <c r="D214" s="34">
        <v>23316</v>
      </c>
      <c r="F214" s="7"/>
      <c r="G214" s="7">
        <f t="shared" si="12"/>
        <v>0</v>
      </c>
      <c r="H214" s="7">
        <f t="shared" si="13"/>
        <v>0</v>
      </c>
      <c r="I214" s="7"/>
      <c r="J214" s="7">
        <f t="shared" si="14"/>
        <v>0</v>
      </c>
      <c r="L214">
        <v>26666</v>
      </c>
      <c r="M214" t="b">
        <f t="shared" si="15"/>
        <v>0</v>
      </c>
    </row>
    <row r="215" spans="1:13" x14ac:dyDescent="0.3">
      <c r="A215" s="18">
        <v>37244806</v>
      </c>
      <c r="B215" s="13" t="s">
        <v>215</v>
      </c>
      <c r="C215" s="13" t="s">
        <v>548</v>
      </c>
      <c r="D215" s="34">
        <v>26666</v>
      </c>
      <c r="F215" s="7"/>
      <c r="G215" s="7">
        <f t="shared" si="12"/>
        <v>0</v>
      </c>
      <c r="H215" s="7">
        <f t="shared" si="13"/>
        <v>0</v>
      </c>
      <c r="I215" s="7"/>
      <c r="J215" s="7">
        <f t="shared" si="14"/>
        <v>0</v>
      </c>
      <c r="L215">
        <v>26666</v>
      </c>
      <c r="M215" t="b">
        <f t="shared" si="15"/>
        <v>1</v>
      </c>
    </row>
    <row r="216" spans="1:13" x14ac:dyDescent="0.3">
      <c r="A216" s="18">
        <v>27011098</v>
      </c>
      <c r="B216" s="13" t="s">
        <v>216</v>
      </c>
      <c r="C216" s="13" t="s">
        <v>549</v>
      </c>
      <c r="D216" s="34">
        <v>26666</v>
      </c>
      <c r="F216" s="7"/>
      <c r="G216" s="7">
        <f t="shared" si="12"/>
        <v>0</v>
      </c>
      <c r="H216" s="7">
        <f t="shared" si="13"/>
        <v>0</v>
      </c>
      <c r="I216" s="7"/>
      <c r="J216" s="7">
        <f t="shared" si="14"/>
        <v>0</v>
      </c>
      <c r="L216">
        <v>26666</v>
      </c>
      <c r="M216" t="b">
        <f t="shared" si="15"/>
        <v>1</v>
      </c>
    </row>
    <row r="217" spans="1:13" x14ac:dyDescent="0.3">
      <c r="A217" s="18">
        <v>26019234</v>
      </c>
      <c r="B217" s="13" t="s">
        <v>217</v>
      </c>
      <c r="C217" s="13" t="s">
        <v>550</v>
      </c>
      <c r="D217" s="34">
        <v>26666</v>
      </c>
      <c r="F217" s="7"/>
      <c r="G217" s="7">
        <f t="shared" si="12"/>
        <v>0</v>
      </c>
      <c r="H217" s="7">
        <f t="shared" si="13"/>
        <v>0</v>
      </c>
      <c r="I217" s="7"/>
      <c r="J217" s="7">
        <f t="shared" si="14"/>
        <v>0</v>
      </c>
      <c r="L217">
        <v>26666</v>
      </c>
      <c r="M217" t="b">
        <f t="shared" si="15"/>
        <v>1</v>
      </c>
    </row>
    <row r="218" spans="1:13" x14ac:dyDescent="0.3">
      <c r="A218" s="18">
        <v>13959023</v>
      </c>
      <c r="B218" s="13" t="s">
        <v>218</v>
      </c>
      <c r="C218" s="13" t="s">
        <v>551</v>
      </c>
      <c r="D218" s="34">
        <v>26666</v>
      </c>
      <c r="F218" s="7"/>
      <c r="G218" s="7">
        <f t="shared" si="12"/>
        <v>0</v>
      </c>
      <c r="H218" s="7">
        <f t="shared" si="13"/>
        <v>0</v>
      </c>
      <c r="I218" s="7"/>
      <c r="J218" s="7">
        <f t="shared" si="14"/>
        <v>0</v>
      </c>
      <c r="L218">
        <v>26666</v>
      </c>
      <c r="M218" t="b">
        <f t="shared" si="15"/>
        <v>1</v>
      </c>
    </row>
    <row r="219" spans="1:13" x14ac:dyDescent="0.3">
      <c r="A219" s="18">
        <v>12496637</v>
      </c>
      <c r="B219" s="13" t="s">
        <v>219</v>
      </c>
      <c r="C219" s="14" t="s">
        <v>706</v>
      </c>
      <c r="D219" s="34">
        <v>26666</v>
      </c>
      <c r="F219" s="7"/>
      <c r="G219" s="7">
        <f t="shared" si="12"/>
        <v>0</v>
      </c>
      <c r="H219" s="7">
        <f t="shared" si="13"/>
        <v>0</v>
      </c>
      <c r="I219" s="7"/>
      <c r="J219" s="7">
        <f t="shared" si="14"/>
        <v>0</v>
      </c>
      <c r="L219">
        <v>26666</v>
      </c>
      <c r="M219" t="b">
        <f t="shared" si="15"/>
        <v>1</v>
      </c>
    </row>
    <row r="220" spans="1:13" x14ac:dyDescent="0.3">
      <c r="A220" s="18">
        <v>25411238</v>
      </c>
      <c r="B220" s="13" t="s">
        <v>220</v>
      </c>
      <c r="C220" s="13" t="s">
        <v>552</v>
      </c>
      <c r="D220" s="34">
        <v>25326</v>
      </c>
      <c r="F220" s="7"/>
      <c r="G220" s="7">
        <f t="shared" si="12"/>
        <v>0</v>
      </c>
      <c r="H220" s="7">
        <f t="shared" si="13"/>
        <v>0</v>
      </c>
      <c r="I220" s="7"/>
      <c r="J220" s="7">
        <f t="shared" si="14"/>
        <v>0</v>
      </c>
      <c r="L220">
        <v>25326</v>
      </c>
      <c r="M220" t="b">
        <f t="shared" si="15"/>
        <v>1</v>
      </c>
    </row>
    <row r="221" spans="1:13" x14ac:dyDescent="0.3">
      <c r="A221" s="18">
        <v>38312169</v>
      </c>
      <c r="B221" s="13" t="s">
        <v>1108</v>
      </c>
      <c r="C221" s="13" t="s">
        <v>553</v>
      </c>
      <c r="D221" s="34">
        <v>23316</v>
      </c>
      <c r="F221" s="7"/>
      <c r="G221" s="7">
        <f t="shared" si="12"/>
        <v>0</v>
      </c>
      <c r="H221" s="7">
        <f t="shared" si="13"/>
        <v>0</v>
      </c>
      <c r="I221" s="7"/>
      <c r="J221" s="7">
        <f t="shared" si="14"/>
        <v>0</v>
      </c>
      <c r="L221">
        <v>23316</v>
      </c>
      <c r="M221" t="b">
        <f t="shared" si="15"/>
        <v>1</v>
      </c>
    </row>
    <row r="222" spans="1:13" x14ac:dyDescent="0.3">
      <c r="A222" s="18">
        <v>31886592</v>
      </c>
      <c r="B222" s="13" t="s">
        <v>221</v>
      </c>
      <c r="C222" s="14" t="s">
        <v>707</v>
      </c>
      <c r="D222" s="34">
        <v>23316</v>
      </c>
      <c r="F222" s="7"/>
      <c r="G222" s="7">
        <f t="shared" si="12"/>
        <v>0</v>
      </c>
      <c r="H222" s="7">
        <f t="shared" si="13"/>
        <v>0</v>
      </c>
      <c r="I222" s="7"/>
      <c r="J222" s="7">
        <f t="shared" si="14"/>
        <v>0</v>
      </c>
      <c r="L222">
        <v>23316</v>
      </c>
      <c r="M222" t="b">
        <f t="shared" si="15"/>
        <v>1</v>
      </c>
    </row>
    <row r="223" spans="1:13" x14ac:dyDescent="0.3">
      <c r="A223" s="19">
        <v>11670520</v>
      </c>
      <c r="B223" s="20" t="s">
        <v>222</v>
      </c>
      <c r="C223" s="13" t="s">
        <v>554</v>
      </c>
      <c r="D223" s="34">
        <v>23316</v>
      </c>
      <c r="F223" s="7"/>
      <c r="G223" s="7">
        <f t="shared" si="12"/>
        <v>0</v>
      </c>
      <c r="H223" s="7">
        <f t="shared" si="13"/>
        <v>0</v>
      </c>
      <c r="I223" s="7"/>
      <c r="J223" s="7">
        <f t="shared" si="14"/>
        <v>0</v>
      </c>
      <c r="L223">
        <v>23316</v>
      </c>
      <c r="M223" t="b">
        <f t="shared" si="15"/>
        <v>1</v>
      </c>
    </row>
    <row r="224" spans="1:13" x14ac:dyDescent="0.3">
      <c r="A224" s="19">
        <v>26500515</v>
      </c>
      <c r="B224" s="20" t="s">
        <v>223</v>
      </c>
      <c r="C224" s="13" t="s">
        <v>555</v>
      </c>
      <c r="D224" s="34">
        <v>19966</v>
      </c>
      <c r="F224" s="7"/>
      <c r="G224" s="7">
        <f t="shared" si="12"/>
        <v>0</v>
      </c>
      <c r="H224" s="7">
        <f t="shared" si="13"/>
        <v>0</v>
      </c>
      <c r="I224" s="7"/>
      <c r="J224" s="7">
        <f t="shared" si="14"/>
        <v>0</v>
      </c>
      <c r="L224">
        <v>19966</v>
      </c>
      <c r="M224" t="b">
        <f t="shared" si="15"/>
        <v>1</v>
      </c>
    </row>
    <row r="225" spans="1:13" x14ac:dyDescent="0.3">
      <c r="A225" s="19">
        <v>36162739</v>
      </c>
      <c r="B225" s="20" t="s">
        <v>224</v>
      </c>
      <c r="C225" s="13" t="s">
        <v>556</v>
      </c>
      <c r="D225" s="34">
        <v>18626</v>
      </c>
      <c r="F225" s="7"/>
      <c r="G225" s="7">
        <f t="shared" si="12"/>
        <v>0</v>
      </c>
      <c r="H225" s="7">
        <f t="shared" si="13"/>
        <v>0</v>
      </c>
      <c r="I225" s="7"/>
      <c r="J225" s="7">
        <f t="shared" si="14"/>
        <v>0</v>
      </c>
      <c r="L225">
        <v>18626</v>
      </c>
      <c r="M225" t="b">
        <f t="shared" si="15"/>
        <v>1</v>
      </c>
    </row>
    <row r="226" spans="1:13" x14ac:dyDescent="0.3">
      <c r="A226" s="19">
        <v>39893389</v>
      </c>
      <c r="B226" s="20" t="s">
        <v>225</v>
      </c>
      <c r="C226" s="13" t="s">
        <v>557</v>
      </c>
      <c r="D226" s="34">
        <v>16616</v>
      </c>
      <c r="F226" s="7"/>
      <c r="G226" s="7">
        <f t="shared" si="12"/>
        <v>0</v>
      </c>
      <c r="H226" s="7">
        <f t="shared" si="13"/>
        <v>0</v>
      </c>
      <c r="I226" s="7"/>
      <c r="J226" s="7">
        <f t="shared" si="14"/>
        <v>0</v>
      </c>
      <c r="L226">
        <v>16616</v>
      </c>
      <c r="M226" t="b">
        <f t="shared" si="15"/>
        <v>1</v>
      </c>
    </row>
    <row r="227" spans="1:13" x14ac:dyDescent="0.3">
      <c r="A227" s="19">
        <v>39296173</v>
      </c>
      <c r="B227" s="20" t="s">
        <v>226</v>
      </c>
      <c r="C227" s="13" t="s">
        <v>558</v>
      </c>
      <c r="D227" s="34">
        <v>15946</v>
      </c>
      <c r="F227" s="7"/>
      <c r="G227" s="7">
        <f t="shared" si="12"/>
        <v>0</v>
      </c>
      <c r="H227" s="7">
        <f t="shared" si="13"/>
        <v>0</v>
      </c>
      <c r="I227" s="7"/>
      <c r="J227" s="7">
        <f t="shared" si="14"/>
        <v>0</v>
      </c>
      <c r="L227">
        <v>15946</v>
      </c>
      <c r="M227" t="b">
        <f t="shared" si="15"/>
        <v>1</v>
      </c>
    </row>
    <row r="228" spans="1:13" x14ac:dyDescent="0.3">
      <c r="A228" s="18">
        <v>26491140</v>
      </c>
      <c r="B228" s="13" t="s">
        <v>227</v>
      </c>
      <c r="C228" s="14" t="s">
        <v>708</v>
      </c>
      <c r="D228" s="34">
        <v>13266</v>
      </c>
      <c r="F228" s="7"/>
      <c r="G228" s="7">
        <f t="shared" si="12"/>
        <v>0</v>
      </c>
      <c r="H228" s="7">
        <f t="shared" si="13"/>
        <v>0</v>
      </c>
      <c r="I228" s="7"/>
      <c r="J228" s="7">
        <f t="shared" si="14"/>
        <v>0</v>
      </c>
      <c r="L228">
        <v>14271</v>
      </c>
      <c r="M228" t="b">
        <f t="shared" si="15"/>
        <v>0</v>
      </c>
    </row>
    <row r="229" spans="1:13" x14ac:dyDescent="0.25">
      <c r="A229" s="23">
        <v>49473587</v>
      </c>
      <c r="B229" s="13" t="s">
        <v>228</v>
      </c>
      <c r="C229" s="13" t="s">
        <v>559</v>
      </c>
      <c r="D229" s="34">
        <v>23316</v>
      </c>
      <c r="F229" s="7"/>
      <c r="G229" s="7">
        <f t="shared" si="12"/>
        <v>0</v>
      </c>
      <c r="H229" s="7">
        <f t="shared" si="13"/>
        <v>0</v>
      </c>
      <c r="I229" s="7"/>
      <c r="J229" s="7">
        <f t="shared" si="14"/>
        <v>0</v>
      </c>
      <c r="L229">
        <v>23316</v>
      </c>
      <c r="M229" t="b">
        <f t="shared" si="15"/>
        <v>1</v>
      </c>
    </row>
    <row r="230" spans="1:13" x14ac:dyDescent="0.3">
      <c r="A230" s="18">
        <v>50326931</v>
      </c>
      <c r="B230" s="13" t="s">
        <v>229</v>
      </c>
      <c r="C230" s="13" t="s">
        <v>560</v>
      </c>
      <c r="D230" s="34">
        <v>36046</v>
      </c>
      <c r="F230" s="7"/>
      <c r="G230" s="7">
        <f t="shared" si="12"/>
        <v>0</v>
      </c>
      <c r="H230" s="7">
        <f t="shared" si="13"/>
        <v>0</v>
      </c>
      <c r="I230" s="7"/>
      <c r="J230" s="7">
        <f t="shared" si="14"/>
        <v>0</v>
      </c>
      <c r="L230">
        <v>36046</v>
      </c>
      <c r="M230" t="b">
        <f t="shared" si="15"/>
        <v>1</v>
      </c>
    </row>
    <row r="231" spans="1:13" x14ac:dyDescent="0.3">
      <c r="A231" s="18">
        <v>12095120</v>
      </c>
      <c r="B231" s="13" t="s">
        <v>230</v>
      </c>
      <c r="C231" s="13" t="s">
        <v>561</v>
      </c>
      <c r="D231" s="34">
        <v>172860</v>
      </c>
      <c r="F231" s="7"/>
      <c r="G231" s="7">
        <f t="shared" si="12"/>
        <v>0</v>
      </c>
      <c r="H231" s="7">
        <f t="shared" si="13"/>
        <v>0</v>
      </c>
      <c r="I231" s="7"/>
      <c r="J231" s="7">
        <f t="shared" si="14"/>
        <v>0</v>
      </c>
      <c r="L231">
        <v>172860</v>
      </c>
      <c r="M231" t="b">
        <f t="shared" si="15"/>
        <v>1</v>
      </c>
    </row>
    <row r="232" spans="1:13" x14ac:dyDescent="0.3">
      <c r="A232" s="18">
        <v>11765770</v>
      </c>
      <c r="B232" s="13" t="s">
        <v>231</v>
      </c>
      <c r="C232" s="13" t="s">
        <v>562</v>
      </c>
      <c r="D232" s="34">
        <v>159460</v>
      </c>
      <c r="F232" s="7"/>
      <c r="G232" s="7">
        <f t="shared" si="12"/>
        <v>0</v>
      </c>
      <c r="H232" s="7">
        <f t="shared" si="13"/>
        <v>0</v>
      </c>
      <c r="I232" s="7"/>
      <c r="J232" s="7">
        <f t="shared" si="14"/>
        <v>0</v>
      </c>
      <c r="L232">
        <v>159460</v>
      </c>
      <c r="M232" t="b">
        <f t="shared" si="15"/>
        <v>1</v>
      </c>
    </row>
    <row r="233" spans="1:13" ht="27" x14ac:dyDescent="0.3">
      <c r="A233" s="18">
        <v>15757638</v>
      </c>
      <c r="B233" s="13" t="s">
        <v>232</v>
      </c>
      <c r="C233" s="14" t="s">
        <v>709</v>
      </c>
      <c r="D233" s="34">
        <v>139360</v>
      </c>
      <c r="F233" s="7"/>
      <c r="G233" s="7">
        <f t="shared" si="12"/>
        <v>0</v>
      </c>
      <c r="H233" s="7">
        <f t="shared" si="13"/>
        <v>0</v>
      </c>
      <c r="I233" s="7"/>
      <c r="J233" s="7">
        <f t="shared" si="14"/>
        <v>0</v>
      </c>
      <c r="L233">
        <v>139360</v>
      </c>
      <c r="M233" t="b">
        <f t="shared" si="15"/>
        <v>1</v>
      </c>
    </row>
    <row r="234" spans="1:13" x14ac:dyDescent="0.3">
      <c r="A234" s="18">
        <v>12038103</v>
      </c>
      <c r="B234" s="13" t="s">
        <v>233</v>
      </c>
      <c r="C234" s="13" t="s">
        <v>563</v>
      </c>
      <c r="D234" s="34">
        <v>105860</v>
      </c>
      <c r="F234" s="7"/>
      <c r="G234" s="7">
        <f t="shared" si="12"/>
        <v>0</v>
      </c>
      <c r="H234" s="7">
        <f t="shared" si="13"/>
        <v>0</v>
      </c>
      <c r="I234" s="7"/>
      <c r="J234" s="7">
        <f t="shared" si="14"/>
        <v>0</v>
      </c>
      <c r="L234">
        <v>105860</v>
      </c>
      <c r="M234" t="b">
        <f t="shared" si="15"/>
        <v>1</v>
      </c>
    </row>
    <row r="235" spans="1:13" x14ac:dyDescent="0.3">
      <c r="A235" s="18">
        <v>46801171</v>
      </c>
      <c r="B235" s="13" t="s">
        <v>234</v>
      </c>
      <c r="C235" s="13" t="s">
        <v>564</v>
      </c>
      <c r="D235" s="34">
        <v>64320</v>
      </c>
      <c r="F235" s="7"/>
      <c r="G235" s="7">
        <f t="shared" si="12"/>
        <v>0</v>
      </c>
      <c r="H235" s="7">
        <f t="shared" si="13"/>
        <v>0</v>
      </c>
      <c r="I235" s="7"/>
      <c r="J235" s="7">
        <f t="shared" si="14"/>
        <v>0</v>
      </c>
      <c r="L235">
        <v>64320</v>
      </c>
      <c r="M235" t="b">
        <f t="shared" si="15"/>
        <v>1</v>
      </c>
    </row>
    <row r="236" spans="1:13" x14ac:dyDescent="0.3">
      <c r="A236" s="18">
        <v>10155238</v>
      </c>
      <c r="B236" s="13" t="s">
        <v>235</v>
      </c>
      <c r="C236" s="13" t="s">
        <v>565</v>
      </c>
      <c r="D236" s="34">
        <v>62980</v>
      </c>
      <c r="F236" s="7"/>
      <c r="G236" s="7">
        <f t="shared" si="12"/>
        <v>0</v>
      </c>
      <c r="H236" s="7">
        <f t="shared" si="13"/>
        <v>0</v>
      </c>
      <c r="I236" s="7"/>
      <c r="J236" s="7">
        <f t="shared" si="14"/>
        <v>0</v>
      </c>
      <c r="L236">
        <v>62980</v>
      </c>
      <c r="M236" t="b">
        <f t="shared" si="15"/>
        <v>1</v>
      </c>
    </row>
    <row r="237" spans="1:13" x14ac:dyDescent="0.3">
      <c r="A237" s="18">
        <v>10816066</v>
      </c>
      <c r="B237" s="13" t="s">
        <v>236</v>
      </c>
      <c r="C237" s="14" t="s">
        <v>710</v>
      </c>
      <c r="D237" s="34">
        <v>62310</v>
      </c>
      <c r="F237" s="7"/>
      <c r="G237" s="7">
        <f t="shared" si="12"/>
        <v>0</v>
      </c>
      <c r="H237" s="7">
        <f t="shared" si="13"/>
        <v>0</v>
      </c>
      <c r="I237" s="7"/>
      <c r="J237" s="7">
        <f t="shared" si="14"/>
        <v>0</v>
      </c>
      <c r="L237">
        <v>62310</v>
      </c>
      <c r="M237" t="b">
        <f t="shared" si="15"/>
        <v>1</v>
      </c>
    </row>
    <row r="238" spans="1:13" x14ac:dyDescent="0.3">
      <c r="A238" s="18">
        <v>8668649</v>
      </c>
      <c r="B238" s="13" t="s">
        <v>237</v>
      </c>
      <c r="C238" s="13" t="s">
        <v>566</v>
      </c>
      <c r="D238" s="34">
        <v>36783</v>
      </c>
      <c r="F238" s="7"/>
      <c r="G238" s="7">
        <f t="shared" si="12"/>
        <v>0</v>
      </c>
      <c r="H238" s="7">
        <f t="shared" si="13"/>
        <v>0</v>
      </c>
      <c r="I238" s="7"/>
      <c r="J238" s="7">
        <f t="shared" si="14"/>
        <v>0</v>
      </c>
      <c r="L238">
        <v>36783</v>
      </c>
      <c r="M238" t="b">
        <f t="shared" si="15"/>
        <v>1</v>
      </c>
    </row>
    <row r="239" spans="1:13" x14ac:dyDescent="0.3">
      <c r="A239" s="18">
        <v>36635604</v>
      </c>
      <c r="B239" s="13" t="s">
        <v>238</v>
      </c>
      <c r="C239" s="13" t="s">
        <v>567</v>
      </c>
      <c r="D239" s="34">
        <v>36783</v>
      </c>
      <c r="F239" s="7"/>
      <c r="G239" s="7">
        <f t="shared" si="12"/>
        <v>0</v>
      </c>
      <c r="H239" s="7">
        <f t="shared" si="13"/>
        <v>0</v>
      </c>
      <c r="I239" s="7"/>
      <c r="J239" s="7">
        <f t="shared" si="14"/>
        <v>0</v>
      </c>
      <c r="L239">
        <v>36783</v>
      </c>
      <c r="M239" t="b">
        <f t="shared" si="15"/>
        <v>1</v>
      </c>
    </row>
    <row r="240" spans="1:13" x14ac:dyDescent="0.3">
      <c r="A240" s="18">
        <v>8837870</v>
      </c>
      <c r="B240" s="13" t="s">
        <v>239</v>
      </c>
      <c r="C240" s="13" t="s">
        <v>568</v>
      </c>
      <c r="D240" s="34">
        <v>20210</v>
      </c>
      <c r="F240" s="7"/>
      <c r="G240" s="7">
        <f t="shared" si="12"/>
        <v>0</v>
      </c>
      <c r="H240" s="7">
        <f t="shared" si="13"/>
        <v>0</v>
      </c>
      <c r="I240" s="7"/>
      <c r="J240" s="7">
        <f t="shared" si="14"/>
        <v>0</v>
      </c>
      <c r="L240">
        <v>20210</v>
      </c>
      <c r="M240" t="b">
        <f t="shared" si="15"/>
        <v>1</v>
      </c>
    </row>
    <row r="241" spans="1:13" x14ac:dyDescent="0.3">
      <c r="A241" s="18">
        <v>5359040</v>
      </c>
      <c r="B241" s="13" t="s">
        <v>240</v>
      </c>
      <c r="C241" s="13" t="s">
        <v>569</v>
      </c>
      <c r="D241" s="34">
        <v>23100</v>
      </c>
      <c r="F241" s="7"/>
      <c r="G241" s="7">
        <f t="shared" si="12"/>
        <v>0</v>
      </c>
      <c r="H241" s="7">
        <f t="shared" si="13"/>
        <v>0</v>
      </c>
      <c r="I241" s="7"/>
      <c r="J241" s="7">
        <f t="shared" si="14"/>
        <v>0</v>
      </c>
      <c r="L241">
        <v>23100</v>
      </c>
      <c r="M241" t="b">
        <f t="shared" si="15"/>
        <v>1</v>
      </c>
    </row>
    <row r="242" spans="1:13" x14ac:dyDescent="0.3">
      <c r="A242" s="18">
        <v>42373723</v>
      </c>
      <c r="B242" s="13" t="s">
        <v>241</v>
      </c>
      <c r="C242" s="13" t="s">
        <v>570</v>
      </c>
      <c r="D242" s="34">
        <v>12474</v>
      </c>
      <c r="F242" s="7"/>
      <c r="G242" s="7">
        <f t="shared" si="12"/>
        <v>0</v>
      </c>
      <c r="H242" s="7">
        <f t="shared" si="13"/>
        <v>0</v>
      </c>
      <c r="I242" s="7"/>
      <c r="J242" s="7">
        <f t="shared" si="14"/>
        <v>0</v>
      </c>
      <c r="L242">
        <v>12474</v>
      </c>
      <c r="M242" t="b">
        <f t="shared" si="15"/>
        <v>1</v>
      </c>
    </row>
    <row r="243" spans="1:13" x14ac:dyDescent="0.3">
      <c r="A243" s="18">
        <v>16303007</v>
      </c>
      <c r="B243" s="13" t="s">
        <v>242</v>
      </c>
      <c r="C243" s="13" t="s">
        <v>571</v>
      </c>
      <c r="D243" s="34">
        <v>14088</v>
      </c>
      <c r="F243" s="7"/>
      <c r="G243" s="7">
        <f t="shared" si="12"/>
        <v>0</v>
      </c>
      <c r="H243" s="7">
        <f t="shared" si="13"/>
        <v>0</v>
      </c>
      <c r="I243" s="7"/>
      <c r="J243" s="7">
        <f t="shared" si="14"/>
        <v>0</v>
      </c>
      <c r="L243">
        <v>14088</v>
      </c>
      <c r="M243" t="b">
        <f t="shared" si="15"/>
        <v>1</v>
      </c>
    </row>
    <row r="244" spans="1:13" x14ac:dyDescent="0.3">
      <c r="A244" s="18">
        <v>27303665</v>
      </c>
      <c r="B244" s="13" t="s">
        <v>243</v>
      </c>
      <c r="C244" s="13" t="s">
        <v>572</v>
      </c>
      <c r="D244" s="34">
        <v>34200</v>
      </c>
      <c r="F244" s="7"/>
      <c r="G244" s="7">
        <f t="shared" si="12"/>
        <v>0</v>
      </c>
      <c r="H244" s="7">
        <f t="shared" si="13"/>
        <v>0</v>
      </c>
      <c r="I244" s="7"/>
      <c r="J244" s="7">
        <f t="shared" si="14"/>
        <v>0</v>
      </c>
      <c r="L244">
        <v>34200</v>
      </c>
      <c r="M244" t="b">
        <f t="shared" si="15"/>
        <v>1</v>
      </c>
    </row>
    <row r="245" spans="1:13" x14ac:dyDescent="0.3">
      <c r="A245" s="18">
        <v>5462299</v>
      </c>
      <c r="B245" s="13" t="s">
        <v>244</v>
      </c>
      <c r="C245" s="13" t="s">
        <v>573</v>
      </c>
      <c r="D245" s="34">
        <v>21320</v>
      </c>
      <c r="F245" s="7"/>
      <c r="G245" s="7">
        <f t="shared" si="12"/>
        <v>0</v>
      </c>
      <c r="H245" s="7">
        <f t="shared" si="13"/>
        <v>0</v>
      </c>
      <c r="I245" s="7"/>
      <c r="J245" s="7">
        <f t="shared" si="14"/>
        <v>0</v>
      </c>
      <c r="L245">
        <v>21320</v>
      </c>
      <c r="M245" t="b">
        <f t="shared" si="15"/>
        <v>1</v>
      </c>
    </row>
    <row r="246" spans="1:13" x14ac:dyDescent="0.3">
      <c r="A246" s="18">
        <v>47220150</v>
      </c>
      <c r="B246" s="13" t="s">
        <v>245</v>
      </c>
      <c r="C246" s="13" t="s">
        <v>574</v>
      </c>
      <c r="D246" s="34">
        <v>12900</v>
      </c>
      <c r="F246" s="7"/>
      <c r="G246" s="7">
        <f t="shared" si="12"/>
        <v>0</v>
      </c>
      <c r="H246" s="7">
        <f t="shared" si="13"/>
        <v>0</v>
      </c>
      <c r="I246" s="7"/>
      <c r="J246" s="7">
        <f t="shared" si="14"/>
        <v>0</v>
      </c>
      <c r="L246">
        <v>12900</v>
      </c>
      <c r="M246" t="b">
        <f t="shared" si="15"/>
        <v>1</v>
      </c>
    </row>
    <row r="247" spans="1:13" x14ac:dyDescent="0.3">
      <c r="A247" s="18">
        <v>42265154</v>
      </c>
      <c r="B247" s="13" t="s">
        <v>246</v>
      </c>
      <c r="C247" s="13" t="s">
        <v>575</v>
      </c>
      <c r="D247" s="34">
        <v>48685</v>
      </c>
      <c r="F247" s="7"/>
      <c r="G247" s="7">
        <f t="shared" si="12"/>
        <v>0</v>
      </c>
      <c r="H247" s="7">
        <f t="shared" si="13"/>
        <v>0</v>
      </c>
      <c r="I247" s="7"/>
      <c r="J247" s="7">
        <f t="shared" si="14"/>
        <v>0</v>
      </c>
      <c r="L247">
        <v>48685</v>
      </c>
      <c r="M247" t="b">
        <f t="shared" si="15"/>
        <v>1</v>
      </c>
    </row>
    <row r="248" spans="1:13" x14ac:dyDescent="0.3">
      <c r="A248" s="18">
        <v>48105600</v>
      </c>
      <c r="B248" s="13" t="s">
        <v>247</v>
      </c>
      <c r="C248" s="13" t="s">
        <v>576</v>
      </c>
      <c r="D248" s="34">
        <v>51935</v>
      </c>
      <c r="F248" s="7"/>
      <c r="G248" s="7">
        <f t="shared" si="12"/>
        <v>0</v>
      </c>
      <c r="H248" s="7">
        <f t="shared" si="13"/>
        <v>0</v>
      </c>
      <c r="I248" s="7"/>
      <c r="J248" s="7">
        <f t="shared" si="14"/>
        <v>0</v>
      </c>
      <c r="L248">
        <v>51935</v>
      </c>
      <c r="M248" t="b">
        <f t="shared" si="15"/>
        <v>1</v>
      </c>
    </row>
    <row r="249" spans="1:13" x14ac:dyDescent="0.3">
      <c r="A249" s="19">
        <v>34991467</v>
      </c>
      <c r="B249" s="20" t="s">
        <v>248</v>
      </c>
      <c r="C249" s="14" t="s">
        <v>711</v>
      </c>
      <c r="D249" s="34">
        <v>22850</v>
      </c>
      <c r="F249" s="7"/>
      <c r="G249" s="7">
        <f t="shared" si="12"/>
        <v>0</v>
      </c>
      <c r="H249" s="7">
        <f t="shared" si="13"/>
        <v>0</v>
      </c>
      <c r="I249" s="7"/>
      <c r="J249" s="7">
        <f t="shared" si="14"/>
        <v>0</v>
      </c>
      <c r="L249">
        <v>22850</v>
      </c>
      <c r="M249" t="b">
        <f t="shared" si="15"/>
        <v>1</v>
      </c>
    </row>
    <row r="250" spans="1:13" x14ac:dyDescent="0.3">
      <c r="A250" s="18">
        <v>34348663</v>
      </c>
      <c r="B250" s="13" t="s">
        <v>249</v>
      </c>
      <c r="C250" s="13" t="s">
        <v>577</v>
      </c>
      <c r="D250" s="34">
        <v>42500</v>
      </c>
      <c r="F250" s="7"/>
      <c r="G250" s="7">
        <f t="shared" si="12"/>
        <v>0</v>
      </c>
      <c r="H250" s="7">
        <f t="shared" si="13"/>
        <v>0</v>
      </c>
      <c r="I250" s="7"/>
      <c r="J250" s="7">
        <f t="shared" si="14"/>
        <v>0</v>
      </c>
      <c r="L250">
        <v>42500</v>
      </c>
      <c r="M250" t="b">
        <f t="shared" si="15"/>
        <v>1</v>
      </c>
    </row>
    <row r="251" spans="1:13" x14ac:dyDescent="0.3">
      <c r="A251" s="18">
        <v>34535085</v>
      </c>
      <c r="B251" s="13" t="s">
        <v>250</v>
      </c>
      <c r="C251" s="13" t="s">
        <v>578</v>
      </c>
      <c r="D251" s="34">
        <v>42500</v>
      </c>
      <c r="F251" s="7"/>
      <c r="G251" s="7">
        <f t="shared" si="12"/>
        <v>0</v>
      </c>
      <c r="H251" s="7">
        <f t="shared" si="13"/>
        <v>0</v>
      </c>
      <c r="I251" s="7"/>
      <c r="J251" s="7">
        <f t="shared" si="14"/>
        <v>0</v>
      </c>
      <c r="L251">
        <v>42500</v>
      </c>
      <c r="M251" t="b">
        <f t="shared" si="15"/>
        <v>1</v>
      </c>
    </row>
    <row r="252" spans="1:13" x14ac:dyDescent="0.3">
      <c r="A252" s="18">
        <v>41140508</v>
      </c>
      <c r="B252" s="13" t="s">
        <v>251</v>
      </c>
      <c r="C252" s="13" t="s">
        <v>579</v>
      </c>
      <c r="D252" s="34">
        <v>24824</v>
      </c>
      <c r="F252" s="7"/>
      <c r="G252" s="7">
        <f t="shared" si="12"/>
        <v>0</v>
      </c>
      <c r="H252" s="7">
        <f t="shared" si="13"/>
        <v>0</v>
      </c>
      <c r="I252" s="7"/>
      <c r="J252" s="7">
        <f t="shared" si="14"/>
        <v>0</v>
      </c>
      <c r="L252">
        <v>24824</v>
      </c>
      <c r="M252" t="b">
        <f t="shared" si="15"/>
        <v>1</v>
      </c>
    </row>
    <row r="253" spans="1:13" x14ac:dyDescent="0.3">
      <c r="A253" s="18">
        <v>22441147</v>
      </c>
      <c r="B253" s="13" t="s">
        <v>252</v>
      </c>
      <c r="C253" s="13" t="s">
        <v>580</v>
      </c>
      <c r="D253" s="34">
        <v>29634</v>
      </c>
      <c r="F253" s="7"/>
      <c r="G253" s="7">
        <f t="shared" si="12"/>
        <v>0</v>
      </c>
      <c r="H253" s="7">
        <f t="shared" si="13"/>
        <v>0</v>
      </c>
      <c r="I253" s="7"/>
      <c r="J253" s="7">
        <f t="shared" si="14"/>
        <v>0</v>
      </c>
      <c r="L253">
        <v>29634</v>
      </c>
      <c r="M253" t="b">
        <f t="shared" si="15"/>
        <v>1</v>
      </c>
    </row>
    <row r="254" spans="1:13" x14ac:dyDescent="0.3">
      <c r="A254" s="19">
        <v>36811023</v>
      </c>
      <c r="B254" s="20" t="s">
        <v>253</v>
      </c>
      <c r="C254" s="13" t="s">
        <v>581</v>
      </c>
      <c r="D254" s="34">
        <v>28000</v>
      </c>
      <c r="F254" s="7"/>
      <c r="G254" s="7">
        <f t="shared" si="12"/>
        <v>0</v>
      </c>
      <c r="H254" s="7">
        <f t="shared" si="13"/>
        <v>0</v>
      </c>
      <c r="I254" s="7"/>
      <c r="J254" s="7">
        <f t="shared" si="14"/>
        <v>0</v>
      </c>
      <c r="L254">
        <v>28000</v>
      </c>
      <c r="M254" t="b">
        <f t="shared" si="15"/>
        <v>1</v>
      </c>
    </row>
    <row r="255" spans="1:13" x14ac:dyDescent="0.3">
      <c r="A255" s="18">
        <v>42217758</v>
      </c>
      <c r="B255" s="13" t="s">
        <v>254</v>
      </c>
      <c r="C255" s="13" t="s">
        <v>582</v>
      </c>
      <c r="D255" s="34">
        <v>17700</v>
      </c>
      <c r="F255" s="7"/>
      <c r="G255" s="7">
        <f t="shared" si="12"/>
        <v>0</v>
      </c>
      <c r="H255" s="7">
        <f t="shared" si="13"/>
        <v>0</v>
      </c>
      <c r="I255" s="7"/>
      <c r="J255" s="7">
        <f t="shared" si="14"/>
        <v>0</v>
      </c>
      <c r="L255">
        <v>17700</v>
      </c>
      <c r="M255" t="b">
        <f t="shared" si="15"/>
        <v>1</v>
      </c>
    </row>
    <row r="256" spans="1:13" x14ac:dyDescent="0.3">
      <c r="A256" s="18">
        <v>39384055</v>
      </c>
      <c r="B256" s="13" t="s">
        <v>255</v>
      </c>
      <c r="C256" s="13" t="s">
        <v>583</v>
      </c>
      <c r="D256" s="34">
        <v>22511</v>
      </c>
      <c r="F256" s="7"/>
      <c r="G256" s="7">
        <f t="shared" si="12"/>
        <v>0</v>
      </c>
      <c r="H256" s="7">
        <f t="shared" si="13"/>
        <v>0</v>
      </c>
      <c r="I256" s="7"/>
      <c r="J256" s="7">
        <f t="shared" si="14"/>
        <v>0</v>
      </c>
      <c r="L256">
        <v>22511</v>
      </c>
      <c r="M256" t="b">
        <f t="shared" si="15"/>
        <v>1</v>
      </c>
    </row>
    <row r="257" spans="1:13" s="33" customFormat="1" x14ac:dyDescent="0.3">
      <c r="A257" s="40">
        <v>74693807</v>
      </c>
      <c r="B257" s="21" t="s">
        <v>1163</v>
      </c>
      <c r="C257" s="21" t="s">
        <v>1164</v>
      </c>
      <c r="D257" s="35">
        <v>33366</v>
      </c>
      <c r="F257" s="41"/>
      <c r="G257" s="41">
        <f t="shared" si="12"/>
        <v>0</v>
      </c>
      <c r="H257" s="41">
        <f t="shared" si="13"/>
        <v>0</v>
      </c>
      <c r="I257" s="41"/>
      <c r="J257" s="41">
        <f t="shared" si="14"/>
        <v>0</v>
      </c>
      <c r="L257" s="33">
        <v>33366</v>
      </c>
      <c r="M257" s="33" t="b">
        <f t="shared" si="15"/>
        <v>1</v>
      </c>
    </row>
    <row r="258" spans="1:13" x14ac:dyDescent="0.3">
      <c r="A258" s="18">
        <v>37161537</v>
      </c>
      <c r="B258" s="13" t="s">
        <v>256</v>
      </c>
      <c r="C258" s="13" t="s">
        <v>584</v>
      </c>
      <c r="D258" s="34">
        <v>23940</v>
      </c>
      <c r="F258" s="7"/>
      <c r="G258" s="7">
        <f t="shared" ref="G258:G321" si="16">IFERROR(VLOOKUP($F258,$A:$B,2,0),0)</f>
        <v>0</v>
      </c>
      <c r="H258" s="7">
        <f t="shared" ref="H258:H321" si="17">IFERROR(VLOOKUP($F258,$A:$D,3,0),0)</f>
        <v>0</v>
      </c>
      <c r="I258" s="7"/>
      <c r="J258" s="7">
        <f t="shared" ref="J258:J321" si="18">IFERROR(VLOOKUP($F258,$A:$D,4,0),0)</f>
        <v>0</v>
      </c>
      <c r="L258">
        <v>23940</v>
      </c>
      <c r="M258" t="b">
        <f t="shared" ref="M258:M320" si="19">D258=L258</f>
        <v>1</v>
      </c>
    </row>
    <row r="259" spans="1:13" x14ac:dyDescent="0.3">
      <c r="A259" s="18">
        <v>30405071</v>
      </c>
      <c r="B259" s="13" t="s">
        <v>257</v>
      </c>
      <c r="C259" s="14" t="s">
        <v>712</v>
      </c>
      <c r="D259" s="34">
        <v>232490</v>
      </c>
      <c r="F259" s="7"/>
      <c r="G259" s="7">
        <f t="shared" si="16"/>
        <v>0</v>
      </c>
      <c r="H259" s="7">
        <f t="shared" si="17"/>
        <v>0</v>
      </c>
      <c r="I259" s="7"/>
      <c r="J259" s="7">
        <f t="shared" si="18"/>
        <v>0</v>
      </c>
      <c r="L259">
        <v>232490</v>
      </c>
      <c r="M259" t="b">
        <f t="shared" si="19"/>
        <v>1</v>
      </c>
    </row>
    <row r="260" spans="1:13" x14ac:dyDescent="0.3">
      <c r="A260" s="19">
        <v>22403445</v>
      </c>
      <c r="B260" s="20" t="s">
        <v>258</v>
      </c>
      <c r="C260" s="14" t="s">
        <v>713</v>
      </c>
      <c r="D260" s="34">
        <v>119260</v>
      </c>
      <c r="F260" s="7"/>
      <c r="G260" s="7">
        <f t="shared" si="16"/>
        <v>0</v>
      </c>
      <c r="H260" s="7">
        <f t="shared" si="17"/>
        <v>0</v>
      </c>
      <c r="I260" s="7"/>
      <c r="J260" s="7">
        <f t="shared" si="18"/>
        <v>0</v>
      </c>
      <c r="L260">
        <v>119260</v>
      </c>
      <c r="M260" t="b">
        <f t="shared" si="19"/>
        <v>1</v>
      </c>
    </row>
    <row r="261" spans="1:13" x14ac:dyDescent="0.3">
      <c r="A261" s="18">
        <v>12481760</v>
      </c>
      <c r="B261" s="13" t="s">
        <v>259</v>
      </c>
      <c r="C261" s="14" t="s">
        <v>714</v>
      </c>
      <c r="D261" s="34">
        <v>105190</v>
      </c>
      <c r="F261" s="7"/>
      <c r="G261" s="7">
        <f t="shared" si="16"/>
        <v>0</v>
      </c>
      <c r="H261" s="7">
        <f t="shared" si="17"/>
        <v>0</v>
      </c>
      <c r="I261" s="7"/>
      <c r="J261" s="7">
        <f t="shared" si="18"/>
        <v>0</v>
      </c>
      <c r="L261">
        <v>105190</v>
      </c>
      <c r="M261" t="b">
        <f t="shared" si="19"/>
        <v>1</v>
      </c>
    </row>
    <row r="262" spans="1:13" x14ac:dyDescent="0.3">
      <c r="A262" s="18">
        <v>12481759</v>
      </c>
      <c r="B262" s="13" t="s">
        <v>260</v>
      </c>
      <c r="C262" s="13" t="s">
        <v>585</v>
      </c>
      <c r="D262" s="34">
        <v>105190</v>
      </c>
      <c r="F262" s="7"/>
      <c r="G262" s="7">
        <f t="shared" si="16"/>
        <v>0</v>
      </c>
      <c r="H262" s="7">
        <f t="shared" si="17"/>
        <v>0</v>
      </c>
      <c r="I262" s="7"/>
      <c r="J262" s="7">
        <f t="shared" si="18"/>
        <v>0</v>
      </c>
      <c r="L262">
        <v>105190</v>
      </c>
      <c r="M262" t="b">
        <f t="shared" si="19"/>
        <v>1</v>
      </c>
    </row>
    <row r="263" spans="1:13" x14ac:dyDescent="0.3">
      <c r="A263" s="18">
        <v>36682232</v>
      </c>
      <c r="B263" s="13" t="s">
        <v>261</v>
      </c>
      <c r="C263" s="13" t="s">
        <v>586</v>
      </c>
      <c r="D263" s="34">
        <v>85090</v>
      </c>
      <c r="F263" s="7"/>
      <c r="G263" s="7">
        <f t="shared" si="16"/>
        <v>0</v>
      </c>
      <c r="H263" s="7">
        <f t="shared" si="17"/>
        <v>0</v>
      </c>
      <c r="I263" s="7"/>
      <c r="J263" s="7">
        <f t="shared" si="18"/>
        <v>0</v>
      </c>
      <c r="L263">
        <v>85090</v>
      </c>
      <c r="M263" t="b">
        <f t="shared" si="19"/>
        <v>1</v>
      </c>
    </row>
    <row r="264" spans="1:13" x14ac:dyDescent="0.3">
      <c r="A264" s="18">
        <v>46727700</v>
      </c>
      <c r="B264" s="13" t="s">
        <v>262</v>
      </c>
      <c r="C264" s="13" t="s">
        <v>587</v>
      </c>
      <c r="D264" s="34">
        <v>51590</v>
      </c>
      <c r="F264" s="7"/>
      <c r="G264" s="7">
        <f t="shared" si="16"/>
        <v>0</v>
      </c>
      <c r="H264" s="7">
        <f t="shared" si="17"/>
        <v>0</v>
      </c>
      <c r="I264" s="7"/>
      <c r="J264" s="7">
        <f t="shared" si="18"/>
        <v>0</v>
      </c>
      <c r="L264">
        <v>51590</v>
      </c>
      <c r="M264" t="b">
        <f t="shared" si="19"/>
        <v>1</v>
      </c>
    </row>
    <row r="265" spans="1:13" x14ac:dyDescent="0.3">
      <c r="A265" s="18">
        <v>40771157</v>
      </c>
      <c r="B265" s="13" t="s">
        <v>263</v>
      </c>
      <c r="C265" s="13" t="s">
        <v>588</v>
      </c>
      <c r="D265" s="34">
        <v>46230</v>
      </c>
      <c r="F265" s="7"/>
      <c r="G265" s="7">
        <f t="shared" si="16"/>
        <v>0</v>
      </c>
      <c r="H265" s="7">
        <f t="shared" si="17"/>
        <v>0</v>
      </c>
      <c r="I265" s="7"/>
      <c r="J265" s="7">
        <f t="shared" si="18"/>
        <v>0</v>
      </c>
      <c r="L265">
        <v>46230</v>
      </c>
      <c r="M265" t="b">
        <f t="shared" si="19"/>
        <v>1</v>
      </c>
    </row>
    <row r="266" spans="1:13" x14ac:dyDescent="0.3">
      <c r="A266" s="18">
        <v>19104731</v>
      </c>
      <c r="B266" s="13" t="s">
        <v>264</v>
      </c>
      <c r="C266" s="13" t="s">
        <v>589</v>
      </c>
      <c r="D266" s="34">
        <v>46766</v>
      </c>
      <c r="F266" s="7"/>
      <c r="G266" s="7">
        <f t="shared" si="16"/>
        <v>0</v>
      </c>
      <c r="H266" s="7">
        <f t="shared" si="17"/>
        <v>0</v>
      </c>
      <c r="I266" s="7"/>
      <c r="J266" s="7">
        <f t="shared" si="18"/>
        <v>0</v>
      </c>
      <c r="L266">
        <v>46766</v>
      </c>
      <c r="M266" t="b">
        <f t="shared" si="19"/>
        <v>1</v>
      </c>
    </row>
    <row r="267" spans="1:13" x14ac:dyDescent="0.3">
      <c r="A267" s="18">
        <v>39944753</v>
      </c>
      <c r="B267" s="13" t="s">
        <v>265</v>
      </c>
      <c r="C267" s="13" t="s">
        <v>590</v>
      </c>
      <c r="D267" s="34">
        <v>40133</v>
      </c>
      <c r="F267" s="7"/>
      <c r="G267" s="7">
        <f t="shared" si="16"/>
        <v>0</v>
      </c>
      <c r="H267" s="7">
        <f t="shared" si="17"/>
        <v>0</v>
      </c>
      <c r="I267" s="7"/>
      <c r="J267" s="7">
        <f t="shared" si="18"/>
        <v>0</v>
      </c>
      <c r="L267">
        <v>40133</v>
      </c>
      <c r="M267" t="b">
        <f t="shared" si="19"/>
        <v>1</v>
      </c>
    </row>
    <row r="268" spans="1:13" x14ac:dyDescent="0.3">
      <c r="A268" s="18">
        <v>48449253</v>
      </c>
      <c r="B268" s="13" t="s">
        <v>266</v>
      </c>
      <c r="C268" s="13" t="s">
        <v>591</v>
      </c>
      <c r="D268" s="34">
        <v>39530</v>
      </c>
      <c r="F268" s="7"/>
      <c r="G268" s="7">
        <f t="shared" si="16"/>
        <v>0</v>
      </c>
      <c r="H268" s="7">
        <f t="shared" si="17"/>
        <v>0</v>
      </c>
      <c r="I268" s="7"/>
      <c r="J268" s="7">
        <f t="shared" si="18"/>
        <v>0</v>
      </c>
      <c r="L268">
        <v>39530</v>
      </c>
      <c r="M268" t="b">
        <f t="shared" si="19"/>
        <v>1</v>
      </c>
    </row>
    <row r="269" spans="1:13" x14ac:dyDescent="0.3">
      <c r="A269" s="18">
        <v>42051062</v>
      </c>
      <c r="B269" s="13" t="s">
        <v>267</v>
      </c>
      <c r="C269" s="13" t="s">
        <v>592</v>
      </c>
      <c r="D269" s="34">
        <v>40133</v>
      </c>
      <c r="F269" s="7"/>
      <c r="G269" s="7">
        <f t="shared" si="16"/>
        <v>0</v>
      </c>
      <c r="H269" s="7">
        <f t="shared" si="17"/>
        <v>0</v>
      </c>
      <c r="I269" s="7"/>
      <c r="J269" s="7">
        <f t="shared" si="18"/>
        <v>0</v>
      </c>
      <c r="L269">
        <v>40133</v>
      </c>
      <c r="M269" t="b">
        <f t="shared" si="19"/>
        <v>1</v>
      </c>
    </row>
    <row r="270" spans="1:13" x14ac:dyDescent="0.3">
      <c r="A270" s="18">
        <v>18291047</v>
      </c>
      <c r="B270" s="13" t="s">
        <v>268</v>
      </c>
      <c r="C270" s="13" t="s">
        <v>593</v>
      </c>
      <c r="D270" s="34">
        <v>38726</v>
      </c>
      <c r="F270" s="7"/>
      <c r="G270" s="7">
        <f t="shared" si="16"/>
        <v>0</v>
      </c>
      <c r="H270" s="7">
        <f t="shared" si="17"/>
        <v>0</v>
      </c>
      <c r="I270" s="7"/>
      <c r="J270" s="7">
        <f t="shared" si="18"/>
        <v>0</v>
      </c>
      <c r="L270">
        <v>38726</v>
      </c>
      <c r="M270" t="b">
        <f t="shared" si="19"/>
        <v>1</v>
      </c>
    </row>
    <row r="271" spans="1:13" x14ac:dyDescent="0.3">
      <c r="A271" s="18">
        <v>10727917</v>
      </c>
      <c r="B271" s="13" t="s">
        <v>269</v>
      </c>
      <c r="C271" s="13" t="s">
        <v>594</v>
      </c>
      <c r="D271" s="34">
        <v>33366</v>
      </c>
      <c r="F271" s="7"/>
      <c r="G271" s="7">
        <f t="shared" si="16"/>
        <v>0</v>
      </c>
      <c r="H271" s="7">
        <f t="shared" si="17"/>
        <v>0</v>
      </c>
      <c r="I271" s="7"/>
      <c r="J271" s="7">
        <f t="shared" si="18"/>
        <v>0</v>
      </c>
      <c r="L271">
        <v>33366</v>
      </c>
      <c r="M271" t="b">
        <f t="shared" si="19"/>
        <v>1</v>
      </c>
    </row>
    <row r="272" spans="1:13" x14ac:dyDescent="0.3">
      <c r="A272" s="18">
        <v>46543317</v>
      </c>
      <c r="B272" s="13" t="s">
        <v>270</v>
      </c>
      <c r="C272" s="13" t="s">
        <v>595</v>
      </c>
      <c r="D272" s="35">
        <v>30016</v>
      </c>
      <c r="F272" s="7"/>
      <c r="G272" s="7">
        <f t="shared" si="16"/>
        <v>0</v>
      </c>
      <c r="H272" s="7">
        <f t="shared" si="17"/>
        <v>0</v>
      </c>
      <c r="I272" s="7"/>
      <c r="J272" s="7">
        <f t="shared" si="18"/>
        <v>0</v>
      </c>
      <c r="L272">
        <v>30016</v>
      </c>
      <c r="M272" t="b">
        <f t="shared" si="19"/>
        <v>1</v>
      </c>
    </row>
    <row r="273" spans="1:13" x14ac:dyDescent="0.3">
      <c r="A273" s="18">
        <v>13644995</v>
      </c>
      <c r="B273" s="13" t="s">
        <v>271</v>
      </c>
      <c r="C273" s="13" t="s">
        <v>596</v>
      </c>
      <c r="D273" s="34">
        <v>30016</v>
      </c>
      <c r="F273" s="7"/>
      <c r="G273" s="7">
        <f t="shared" si="16"/>
        <v>0</v>
      </c>
      <c r="H273" s="7">
        <f t="shared" si="17"/>
        <v>0</v>
      </c>
      <c r="I273" s="7"/>
      <c r="J273" s="7">
        <f t="shared" si="18"/>
        <v>0</v>
      </c>
      <c r="L273">
        <v>30016</v>
      </c>
      <c r="M273" t="b">
        <f t="shared" si="19"/>
        <v>1</v>
      </c>
    </row>
    <row r="274" spans="1:13" x14ac:dyDescent="0.3">
      <c r="A274" s="18">
        <v>42486414</v>
      </c>
      <c r="B274" s="13" t="s">
        <v>272</v>
      </c>
      <c r="C274" s="13" t="s">
        <v>597</v>
      </c>
      <c r="D274" s="34">
        <v>28073</v>
      </c>
      <c r="F274" s="7"/>
      <c r="G274" s="7">
        <f t="shared" si="16"/>
        <v>0</v>
      </c>
      <c r="H274" s="7">
        <f t="shared" si="17"/>
        <v>0</v>
      </c>
      <c r="I274" s="7"/>
      <c r="J274" s="7">
        <f t="shared" si="18"/>
        <v>0</v>
      </c>
      <c r="L274">
        <v>28073</v>
      </c>
      <c r="M274" t="b">
        <f t="shared" si="19"/>
        <v>1</v>
      </c>
    </row>
    <row r="275" spans="1:13" x14ac:dyDescent="0.3">
      <c r="A275" s="18">
        <v>44695653</v>
      </c>
      <c r="B275" s="13" t="s">
        <v>273</v>
      </c>
      <c r="C275" s="13" t="s">
        <v>598</v>
      </c>
      <c r="D275" s="34">
        <v>23316</v>
      </c>
      <c r="F275" s="7"/>
      <c r="G275" s="7">
        <f t="shared" si="16"/>
        <v>0</v>
      </c>
      <c r="H275" s="7">
        <f t="shared" si="17"/>
        <v>0</v>
      </c>
      <c r="I275" s="7"/>
      <c r="J275" s="7">
        <f t="shared" si="18"/>
        <v>0</v>
      </c>
      <c r="L275">
        <v>23316</v>
      </c>
      <c r="M275" t="b">
        <f t="shared" si="19"/>
        <v>1</v>
      </c>
    </row>
    <row r="276" spans="1:13" x14ac:dyDescent="0.3">
      <c r="A276" s="18">
        <v>44374810</v>
      </c>
      <c r="B276" s="13" t="s">
        <v>274</v>
      </c>
      <c r="C276" s="13" t="s">
        <v>599</v>
      </c>
      <c r="D276" s="34">
        <v>25326</v>
      </c>
      <c r="F276" s="7"/>
      <c r="G276" s="7">
        <f t="shared" si="16"/>
        <v>0</v>
      </c>
      <c r="H276" s="7">
        <f t="shared" si="17"/>
        <v>0</v>
      </c>
      <c r="I276" s="7"/>
      <c r="J276" s="7">
        <f t="shared" si="18"/>
        <v>0</v>
      </c>
      <c r="L276">
        <v>25326</v>
      </c>
      <c r="M276" t="b">
        <f t="shared" si="19"/>
        <v>1</v>
      </c>
    </row>
    <row r="277" spans="1:13" x14ac:dyDescent="0.3">
      <c r="A277" s="18">
        <v>29258063</v>
      </c>
      <c r="B277" s="13" t="s">
        <v>275</v>
      </c>
      <c r="C277" s="13" t="s">
        <v>600</v>
      </c>
      <c r="D277" s="34">
        <v>25326</v>
      </c>
      <c r="F277" s="7"/>
      <c r="G277" s="7">
        <f t="shared" si="16"/>
        <v>0</v>
      </c>
      <c r="H277" s="7">
        <f t="shared" si="17"/>
        <v>0</v>
      </c>
      <c r="I277" s="7"/>
      <c r="J277" s="7">
        <f t="shared" si="18"/>
        <v>0</v>
      </c>
      <c r="L277">
        <v>25326</v>
      </c>
      <c r="M277" t="b">
        <f t="shared" si="19"/>
        <v>1</v>
      </c>
    </row>
    <row r="278" spans="1:13" x14ac:dyDescent="0.3">
      <c r="A278" s="18">
        <v>13405604</v>
      </c>
      <c r="B278" s="13" t="s">
        <v>276</v>
      </c>
      <c r="C278" s="13" t="s">
        <v>601</v>
      </c>
      <c r="D278" s="34">
        <v>26666</v>
      </c>
      <c r="F278" s="7"/>
      <c r="G278" s="7">
        <f t="shared" si="16"/>
        <v>0</v>
      </c>
      <c r="H278" s="7">
        <f t="shared" si="17"/>
        <v>0</v>
      </c>
      <c r="I278" s="7"/>
      <c r="J278" s="7">
        <f t="shared" si="18"/>
        <v>0</v>
      </c>
      <c r="L278">
        <v>26666</v>
      </c>
      <c r="M278" t="b">
        <f t="shared" si="19"/>
        <v>1</v>
      </c>
    </row>
    <row r="279" spans="1:13" x14ac:dyDescent="0.3">
      <c r="A279" s="18">
        <v>10646862</v>
      </c>
      <c r="B279" s="13" t="s">
        <v>277</v>
      </c>
      <c r="C279" s="13" t="s">
        <v>602</v>
      </c>
      <c r="D279" s="34">
        <v>25393</v>
      </c>
      <c r="F279" s="7"/>
      <c r="G279" s="7">
        <f t="shared" si="16"/>
        <v>0</v>
      </c>
      <c r="H279" s="7">
        <f t="shared" si="17"/>
        <v>0</v>
      </c>
      <c r="I279" s="7"/>
      <c r="J279" s="7">
        <f t="shared" si="18"/>
        <v>0</v>
      </c>
      <c r="L279">
        <v>25393</v>
      </c>
      <c r="M279" t="b">
        <f t="shared" si="19"/>
        <v>1</v>
      </c>
    </row>
    <row r="280" spans="1:13" x14ac:dyDescent="0.3">
      <c r="A280" s="18">
        <v>12362063</v>
      </c>
      <c r="B280" s="13" t="s">
        <v>278</v>
      </c>
      <c r="C280" s="13" t="s">
        <v>603</v>
      </c>
      <c r="D280" s="34">
        <v>92460</v>
      </c>
      <c r="F280" s="7"/>
      <c r="G280" s="7">
        <f t="shared" si="16"/>
        <v>0</v>
      </c>
      <c r="H280" s="7">
        <f t="shared" si="17"/>
        <v>0</v>
      </c>
      <c r="I280" s="7"/>
      <c r="J280" s="7">
        <f t="shared" si="18"/>
        <v>0</v>
      </c>
      <c r="L280">
        <v>92460</v>
      </c>
      <c r="M280" t="b">
        <f t="shared" si="19"/>
        <v>1</v>
      </c>
    </row>
    <row r="281" spans="1:13" x14ac:dyDescent="0.3">
      <c r="A281" s="18">
        <v>40185196</v>
      </c>
      <c r="B281" s="13" t="s">
        <v>279</v>
      </c>
      <c r="C281" s="13" t="s">
        <v>604</v>
      </c>
      <c r="D281" s="34">
        <v>48500</v>
      </c>
      <c r="F281" s="7"/>
      <c r="G281" s="7">
        <f t="shared" si="16"/>
        <v>0</v>
      </c>
      <c r="H281" s="7">
        <f t="shared" si="17"/>
        <v>0</v>
      </c>
      <c r="I281" s="7"/>
      <c r="J281" s="7">
        <f t="shared" si="18"/>
        <v>0</v>
      </c>
      <c r="L281">
        <v>48500</v>
      </c>
      <c r="M281" t="b">
        <f t="shared" si="19"/>
        <v>1</v>
      </c>
    </row>
    <row r="282" spans="1:13" x14ac:dyDescent="0.3">
      <c r="A282" s="18">
        <v>15825326</v>
      </c>
      <c r="B282" s="13" t="s">
        <v>280</v>
      </c>
      <c r="C282" s="13" t="s">
        <v>605</v>
      </c>
      <c r="D282" s="34">
        <v>31300</v>
      </c>
      <c r="F282" s="7"/>
      <c r="G282" s="7">
        <f t="shared" si="16"/>
        <v>0</v>
      </c>
      <c r="H282" s="7">
        <f t="shared" si="17"/>
        <v>0</v>
      </c>
      <c r="I282" s="7"/>
      <c r="J282" s="7">
        <f t="shared" si="18"/>
        <v>0</v>
      </c>
      <c r="L282">
        <v>31300</v>
      </c>
      <c r="M282" t="b">
        <f t="shared" si="19"/>
        <v>1</v>
      </c>
    </row>
    <row r="283" spans="1:13" x14ac:dyDescent="0.3">
      <c r="A283" s="18">
        <v>26375455</v>
      </c>
      <c r="B283" s="13" t="s">
        <v>281</v>
      </c>
      <c r="C283" s="13" t="s">
        <v>606</v>
      </c>
      <c r="D283" s="34">
        <v>55000</v>
      </c>
      <c r="F283" s="7"/>
      <c r="G283" s="7">
        <f t="shared" si="16"/>
        <v>0</v>
      </c>
      <c r="H283" s="7">
        <f t="shared" si="17"/>
        <v>0</v>
      </c>
      <c r="I283" s="7"/>
      <c r="J283" s="7">
        <f t="shared" si="18"/>
        <v>0</v>
      </c>
      <c r="L283">
        <v>55000</v>
      </c>
      <c r="M283" t="b">
        <f t="shared" si="19"/>
        <v>1</v>
      </c>
    </row>
    <row r="284" spans="1:13" x14ac:dyDescent="0.3">
      <c r="A284" s="18">
        <v>42803850</v>
      </c>
      <c r="B284" s="13" t="s">
        <v>282</v>
      </c>
      <c r="C284" s="13" t="s">
        <v>607</v>
      </c>
      <c r="D284" s="34">
        <v>26530</v>
      </c>
      <c r="F284" s="7"/>
      <c r="G284" s="7">
        <f t="shared" si="16"/>
        <v>0</v>
      </c>
      <c r="H284" s="7">
        <f t="shared" si="17"/>
        <v>0</v>
      </c>
      <c r="I284" s="7"/>
      <c r="J284" s="7">
        <f t="shared" si="18"/>
        <v>0</v>
      </c>
      <c r="L284">
        <v>26530</v>
      </c>
      <c r="M284" t="b">
        <f t="shared" si="19"/>
        <v>1</v>
      </c>
    </row>
    <row r="285" spans="1:13" x14ac:dyDescent="0.3">
      <c r="A285" s="18">
        <v>50154913</v>
      </c>
      <c r="B285" s="13" t="s">
        <v>283</v>
      </c>
      <c r="C285" s="13" t="s">
        <v>608</v>
      </c>
      <c r="D285" s="34">
        <v>32026</v>
      </c>
      <c r="F285" s="7"/>
      <c r="G285" s="7">
        <f t="shared" si="16"/>
        <v>0</v>
      </c>
      <c r="H285" s="7">
        <f t="shared" si="17"/>
        <v>0</v>
      </c>
      <c r="I285" s="7"/>
      <c r="J285" s="7">
        <f t="shared" si="18"/>
        <v>0</v>
      </c>
      <c r="L285">
        <v>32026</v>
      </c>
      <c r="M285" t="b">
        <f t="shared" si="19"/>
        <v>1</v>
      </c>
    </row>
    <row r="286" spans="1:13" x14ac:dyDescent="0.3">
      <c r="A286" s="18">
        <v>16806254</v>
      </c>
      <c r="B286" s="13" t="s">
        <v>284</v>
      </c>
      <c r="C286" s="13" t="s">
        <v>609</v>
      </c>
      <c r="D286" s="34">
        <v>172190</v>
      </c>
      <c r="F286" s="7"/>
      <c r="G286" s="7">
        <f t="shared" si="16"/>
        <v>0</v>
      </c>
      <c r="H286" s="7">
        <f t="shared" si="17"/>
        <v>0</v>
      </c>
      <c r="I286" s="7"/>
      <c r="J286" s="7">
        <f t="shared" si="18"/>
        <v>0</v>
      </c>
      <c r="L286">
        <v>172190</v>
      </c>
      <c r="M286" t="b">
        <f t="shared" si="19"/>
        <v>1</v>
      </c>
    </row>
    <row r="287" spans="1:13" x14ac:dyDescent="0.3">
      <c r="A287" s="18">
        <v>40501253</v>
      </c>
      <c r="B287" s="13" t="s">
        <v>285</v>
      </c>
      <c r="C287" s="13" t="s">
        <v>610</v>
      </c>
      <c r="D287" s="34">
        <v>73030</v>
      </c>
      <c r="F287" s="7"/>
      <c r="G287" s="7">
        <f t="shared" si="16"/>
        <v>0</v>
      </c>
      <c r="H287" s="7">
        <f t="shared" si="17"/>
        <v>0</v>
      </c>
      <c r="I287" s="7"/>
      <c r="J287" s="7">
        <f t="shared" si="18"/>
        <v>0</v>
      </c>
      <c r="L287">
        <v>73030</v>
      </c>
      <c r="M287" t="b">
        <f t="shared" si="19"/>
        <v>1</v>
      </c>
    </row>
    <row r="288" spans="1:13" x14ac:dyDescent="0.3">
      <c r="A288" s="18">
        <v>14878740</v>
      </c>
      <c r="B288" s="13" t="s">
        <v>286</v>
      </c>
      <c r="C288" s="14" t="s">
        <v>715</v>
      </c>
      <c r="D288" s="34">
        <v>85090</v>
      </c>
      <c r="F288" s="7"/>
      <c r="G288" s="7">
        <f t="shared" si="16"/>
        <v>0</v>
      </c>
      <c r="H288" s="7">
        <f t="shared" si="17"/>
        <v>0</v>
      </c>
      <c r="I288" s="7"/>
      <c r="J288" s="7">
        <f t="shared" si="18"/>
        <v>0</v>
      </c>
      <c r="L288">
        <v>85090</v>
      </c>
      <c r="M288" t="b">
        <f t="shared" si="19"/>
        <v>1</v>
      </c>
    </row>
    <row r="289" spans="1:13" x14ac:dyDescent="0.3">
      <c r="A289" s="18">
        <v>12673237</v>
      </c>
      <c r="B289" s="13" t="s">
        <v>287</v>
      </c>
      <c r="C289" s="13" t="s">
        <v>611</v>
      </c>
      <c r="D289" s="34">
        <v>78390</v>
      </c>
      <c r="F289" s="7"/>
      <c r="G289" s="7">
        <f t="shared" si="16"/>
        <v>0</v>
      </c>
      <c r="H289" s="7">
        <f t="shared" si="17"/>
        <v>0</v>
      </c>
      <c r="I289" s="7"/>
      <c r="J289" s="7">
        <f t="shared" si="18"/>
        <v>0</v>
      </c>
      <c r="L289">
        <v>78390</v>
      </c>
      <c r="M289" t="b">
        <f t="shared" si="19"/>
        <v>1</v>
      </c>
    </row>
    <row r="290" spans="1:13" x14ac:dyDescent="0.3">
      <c r="A290" s="18">
        <v>17579662</v>
      </c>
      <c r="B290" s="13" t="s">
        <v>288</v>
      </c>
      <c r="C290" s="13" t="s">
        <v>612</v>
      </c>
      <c r="D290" s="34">
        <v>65660</v>
      </c>
      <c r="F290" s="7"/>
      <c r="G290" s="7">
        <f t="shared" si="16"/>
        <v>0</v>
      </c>
      <c r="H290" s="7">
        <f t="shared" si="17"/>
        <v>0</v>
      </c>
      <c r="I290" s="7"/>
      <c r="J290" s="7">
        <f t="shared" si="18"/>
        <v>0</v>
      </c>
      <c r="L290">
        <v>65660</v>
      </c>
      <c r="M290" t="b">
        <f t="shared" si="19"/>
        <v>1</v>
      </c>
    </row>
    <row r="291" spans="1:13" x14ac:dyDescent="0.3">
      <c r="A291" s="18">
        <v>14719737</v>
      </c>
      <c r="B291" s="13" t="s">
        <v>289</v>
      </c>
      <c r="C291" s="13" t="s">
        <v>613</v>
      </c>
      <c r="D291" s="34">
        <v>72360</v>
      </c>
      <c r="F291" s="7"/>
      <c r="G291" s="7">
        <f t="shared" si="16"/>
        <v>0</v>
      </c>
      <c r="H291" s="7">
        <f t="shared" si="17"/>
        <v>0</v>
      </c>
      <c r="I291" s="7"/>
      <c r="J291" s="7">
        <f t="shared" si="18"/>
        <v>0</v>
      </c>
      <c r="L291">
        <v>72360</v>
      </c>
      <c r="M291" t="b">
        <f t="shared" si="19"/>
        <v>1</v>
      </c>
    </row>
    <row r="292" spans="1:13" x14ac:dyDescent="0.3">
      <c r="A292" s="18">
        <v>22119013</v>
      </c>
      <c r="B292" s="13" t="s">
        <v>290</v>
      </c>
      <c r="C292" s="13" t="s">
        <v>614</v>
      </c>
      <c r="D292" s="34">
        <v>64923</v>
      </c>
      <c r="F292" s="7"/>
      <c r="G292" s="7">
        <f t="shared" si="16"/>
        <v>0</v>
      </c>
      <c r="H292" s="7">
        <f t="shared" si="17"/>
        <v>0</v>
      </c>
      <c r="I292" s="7"/>
      <c r="J292" s="7">
        <f t="shared" si="18"/>
        <v>0</v>
      </c>
      <c r="L292">
        <v>64923</v>
      </c>
      <c r="M292" t="b">
        <f t="shared" si="19"/>
        <v>1</v>
      </c>
    </row>
    <row r="293" spans="1:13" x14ac:dyDescent="0.3">
      <c r="A293" s="18">
        <v>15795597</v>
      </c>
      <c r="B293" s="13" t="s">
        <v>291</v>
      </c>
      <c r="C293" s="13" t="s">
        <v>615</v>
      </c>
      <c r="D293" s="34">
        <v>49446</v>
      </c>
      <c r="F293" s="7"/>
      <c r="G293" s="7">
        <f t="shared" si="16"/>
        <v>0</v>
      </c>
      <c r="H293" s="7">
        <f t="shared" si="17"/>
        <v>0</v>
      </c>
      <c r="I293" s="7"/>
      <c r="J293" s="7">
        <f t="shared" si="18"/>
        <v>0</v>
      </c>
      <c r="L293">
        <v>49446</v>
      </c>
      <c r="M293" t="b">
        <f t="shared" si="19"/>
        <v>1</v>
      </c>
    </row>
    <row r="294" spans="1:13" x14ac:dyDescent="0.3">
      <c r="A294" s="18">
        <v>12126317</v>
      </c>
      <c r="B294" s="13" t="s">
        <v>292</v>
      </c>
      <c r="C294" s="13" t="s">
        <v>616</v>
      </c>
      <c r="D294" s="34">
        <v>49446</v>
      </c>
      <c r="F294" s="7"/>
      <c r="G294" s="7">
        <f t="shared" si="16"/>
        <v>0</v>
      </c>
      <c r="H294" s="7">
        <f t="shared" si="17"/>
        <v>0</v>
      </c>
      <c r="I294" s="7"/>
      <c r="J294" s="7">
        <f t="shared" si="18"/>
        <v>0</v>
      </c>
      <c r="L294">
        <v>49446</v>
      </c>
      <c r="M294" t="b">
        <f t="shared" si="19"/>
        <v>1</v>
      </c>
    </row>
    <row r="295" spans="1:13" x14ac:dyDescent="0.3">
      <c r="A295" s="18">
        <v>39239709</v>
      </c>
      <c r="B295" s="13" t="s">
        <v>293</v>
      </c>
      <c r="C295" s="13" t="s">
        <v>617</v>
      </c>
      <c r="D295" s="34">
        <v>44756</v>
      </c>
      <c r="F295" s="7"/>
      <c r="G295" s="7">
        <f t="shared" si="16"/>
        <v>0</v>
      </c>
      <c r="H295" s="7">
        <f t="shared" si="17"/>
        <v>0</v>
      </c>
      <c r="I295" s="7"/>
      <c r="J295" s="7">
        <f t="shared" si="18"/>
        <v>0</v>
      </c>
      <c r="L295">
        <v>44756</v>
      </c>
      <c r="M295" t="b">
        <f t="shared" si="19"/>
        <v>1</v>
      </c>
    </row>
    <row r="296" spans="1:13" x14ac:dyDescent="0.3">
      <c r="A296" s="18">
        <v>14488275</v>
      </c>
      <c r="B296" s="13" t="s">
        <v>294</v>
      </c>
      <c r="C296" s="13" t="s">
        <v>618</v>
      </c>
      <c r="D296" s="34">
        <v>43416</v>
      </c>
      <c r="F296" s="7"/>
      <c r="G296" s="7">
        <f t="shared" si="16"/>
        <v>0</v>
      </c>
      <c r="H296" s="7">
        <f t="shared" si="17"/>
        <v>0</v>
      </c>
      <c r="I296" s="7"/>
      <c r="J296" s="7">
        <f t="shared" si="18"/>
        <v>0</v>
      </c>
      <c r="L296">
        <v>43416</v>
      </c>
      <c r="M296" t="b">
        <f t="shared" si="19"/>
        <v>1</v>
      </c>
    </row>
    <row r="297" spans="1:13" x14ac:dyDescent="0.3">
      <c r="A297" s="18">
        <v>42519088</v>
      </c>
      <c r="B297" s="13" t="s">
        <v>295</v>
      </c>
      <c r="C297" s="13" t="s">
        <v>619</v>
      </c>
      <c r="D297" s="34">
        <v>40066</v>
      </c>
      <c r="F297" s="7"/>
      <c r="G297" s="7">
        <f t="shared" si="16"/>
        <v>0</v>
      </c>
      <c r="H297" s="7">
        <f t="shared" si="17"/>
        <v>0</v>
      </c>
      <c r="I297" s="7"/>
      <c r="J297" s="7">
        <f t="shared" si="18"/>
        <v>0</v>
      </c>
      <c r="L297">
        <v>40066</v>
      </c>
      <c r="M297" t="b">
        <f t="shared" si="19"/>
        <v>1</v>
      </c>
    </row>
    <row r="298" spans="1:13" x14ac:dyDescent="0.3">
      <c r="A298" s="18">
        <v>17579394</v>
      </c>
      <c r="B298" s="13" t="s">
        <v>296</v>
      </c>
      <c r="C298" s="13" t="s">
        <v>620</v>
      </c>
      <c r="D298" s="34">
        <v>33366</v>
      </c>
      <c r="F298" s="7"/>
      <c r="G298" s="7">
        <f t="shared" si="16"/>
        <v>0</v>
      </c>
      <c r="H298" s="7">
        <f t="shared" si="17"/>
        <v>0</v>
      </c>
      <c r="I298" s="7"/>
      <c r="J298" s="7">
        <f t="shared" si="18"/>
        <v>0</v>
      </c>
      <c r="L298">
        <v>33366</v>
      </c>
      <c r="M298" t="b">
        <f t="shared" si="19"/>
        <v>1</v>
      </c>
    </row>
    <row r="299" spans="1:13" x14ac:dyDescent="0.3">
      <c r="A299" s="18">
        <v>27056005</v>
      </c>
      <c r="B299" s="13" t="s">
        <v>297</v>
      </c>
      <c r="C299" s="13" t="s">
        <v>621</v>
      </c>
      <c r="D299" s="34">
        <v>16616</v>
      </c>
      <c r="F299" s="7"/>
      <c r="G299" s="7">
        <f t="shared" si="16"/>
        <v>0</v>
      </c>
      <c r="H299" s="7">
        <f t="shared" si="17"/>
        <v>0</v>
      </c>
      <c r="I299" s="7"/>
      <c r="J299" s="7">
        <f t="shared" si="18"/>
        <v>0</v>
      </c>
      <c r="L299">
        <v>16616</v>
      </c>
      <c r="M299" t="b">
        <f t="shared" si="19"/>
        <v>1</v>
      </c>
    </row>
    <row r="300" spans="1:13" x14ac:dyDescent="0.3">
      <c r="A300" s="18">
        <v>24832169</v>
      </c>
      <c r="B300" s="13" t="s">
        <v>298</v>
      </c>
      <c r="C300" s="13" t="s">
        <v>622</v>
      </c>
      <c r="D300" s="34">
        <v>14271</v>
      </c>
      <c r="F300" s="7"/>
      <c r="G300" s="7">
        <f t="shared" si="16"/>
        <v>0</v>
      </c>
      <c r="H300" s="7">
        <f t="shared" si="17"/>
        <v>0</v>
      </c>
      <c r="I300" s="7"/>
      <c r="J300" s="7">
        <f t="shared" si="18"/>
        <v>0</v>
      </c>
      <c r="L300">
        <v>14271</v>
      </c>
      <c r="M300" t="b">
        <f t="shared" si="19"/>
        <v>1</v>
      </c>
    </row>
    <row r="301" spans="1:13" x14ac:dyDescent="0.3">
      <c r="A301" s="18">
        <v>39147133</v>
      </c>
      <c r="B301" s="13" t="s">
        <v>299</v>
      </c>
      <c r="C301" s="13" t="s">
        <v>623</v>
      </c>
      <c r="D301" s="34">
        <v>51590</v>
      </c>
      <c r="F301" s="7"/>
      <c r="G301" s="7">
        <f t="shared" si="16"/>
        <v>0</v>
      </c>
      <c r="H301" s="7">
        <f t="shared" si="17"/>
        <v>0</v>
      </c>
      <c r="I301" s="7"/>
      <c r="J301" s="7">
        <f t="shared" si="18"/>
        <v>0</v>
      </c>
      <c r="L301">
        <v>51590</v>
      </c>
      <c r="M301" t="b">
        <f t="shared" si="19"/>
        <v>1</v>
      </c>
    </row>
    <row r="302" spans="1:13" x14ac:dyDescent="0.3">
      <c r="A302" s="18">
        <v>39030281</v>
      </c>
      <c r="B302" s="13" t="s">
        <v>300</v>
      </c>
      <c r="C302" s="13" t="s">
        <v>624</v>
      </c>
      <c r="D302" s="34">
        <v>26666</v>
      </c>
      <c r="F302" s="7"/>
      <c r="G302" s="7">
        <f t="shared" si="16"/>
        <v>0</v>
      </c>
      <c r="H302" s="7">
        <f t="shared" si="17"/>
        <v>0</v>
      </c>
      <c r="I302" s="7"/>
      <c r="J302" s="7">
        <f t="shared" si="18"/>
        <v>0</v>
      </c>
      <c r="L302">
        <v>26666</v>
      </c>
      <c r="M302" t="b">
        <f t="shared" si="19"/>
        <v>1</v>
      </c>
    </row>
    <row r="303" spans="1:13" x14ac:dyDescent="0.3">
      <c r="A303" s="18">
        <v>13373616</v>
      </c>
      <c r="B303" s="13" t="s">
        <v>301</v>
      </c>
      <c r="C303" s="13" t="s">
        <v>625</v>
      </c>
      <c r="D303" s="34">
        <v>16616</v>
      </c>
      <c r="F303" s="7"/>
      <c r="G303" s="7">
        <f t="shared" si="16"/>
        <v>0</v>
      </c>
      <c r="H303" s="7">
        <f t="shared" si="17"/>
        <v>0</v>
      </c>
      <c r="I303" s="7"/>
      <c r="J303" s="7">
        <f t="shared" si="18"/>
        <v>0</v>
      </c>
      <c r="L303">
        <v>16616</v>
      </c>
      <c r="M303" t="b">
        <f t="shared" si="19"/>
        <v>1</v>
      </c>
    </row>
    <row r="304" spans="1:13" x14ac:dyDescent="0.3">
      <c r="A304" s="18">
        <v>12757668</v>
      </c>
      <c r="B304" s="13" t="s">
        <v>302</v>
      </c>
      <c r="C304" s="13" t="s">
        <v>626</v>
      </c>
      <c r="D304" s="34">
        <v>13266</v>
      </c>
      <c r="F304" s="7"/>
      <c r="G304" s="7">
        <f t="shared" si="16"/>
        <v>0</v>
      </c>
      <c r="H304" s="7">
        <f t="shared" si="17"/>
        <v>0</v>
      </c>
      <c r="I304" s="7"/>
      <c r="J304" s="7">
        <f t="shared" si="18"/>
        <v>0</v>
      </c>
      <c r="L304">
        <v>13266</v>
      </c>
      <c r="M304" t="b">
        <f t="shared" si="19"/>
        <v>1</v>
      </c>
    </row>
    <row r="305" spans="1:13" x14ac:dyDescent="0.3">
      <c r="A305" s="18">
        <v>38977260</v>
      </c>
      <c r="B305" s="13" t="s">
        <v>303</v>
      </c>
      <c r="C305" s="13" t="s">
        <v>627</v>
      </c>
      <c r="D305" s="34">
        <v>28743</v>
      </c>
      <c r="F305" s="7"/>
      <c r="G305" s="7">
        <f t="shared" si="16"/>
        <v>0</v>
      </c>
      <c r="H305" s="7">
        <f t="shared" si="17"/>
        <v>0</v>
      </c>
      <c r="I305" s="7"/>
      <c r="J305" s="7">
        <f t="shared" si="18"/>
        <v>0</v>
      </c>
      <c r="L305">
        <v>28743</v>
      </c>
      <c r="M305" t="b">
        <f t="shared" si="19"/>
        <v>1</v>
      </c>
    </row>
    <row r="306" spans="1:13" x14ac:dyDescent="0.3">
      <c r="A306" s="18">
        <v>38676914</v>
      </c>
      <c r="B306" s="13" t="s">
        <v>304</v>
      </c>
      <c r="C306" s="13" t="s">
        <v>628</v>
      </c>
      <c r="D306" s="34">
        <v>44890</v>
      </c>
      <c r="F306" s="7"/>
      <c r="G306" s="7">
        <f t="shared" si="16"/>
        <v>0</v>
      </c>
      <c r="H306" s="7">
        <f t="shared" si="17"/>
        <v>0</v>
      </c>
      <c r="I306" s="7"/>
      <c r="J306" s="7">
        <f t="shared" si="18"/>
        <v>0</v>
      </c>
      <c r="L306">
        <v>44890</v>
      </c>
      <c r="M306" t="b">
        <f t="shared" si="19"/>
        <v>1</v>
      </c>
    </row>
    <row r="307" spans="1:13" x14ac:dyDescent="0.3">
      <c r="A307" s="19">
        <v>39911056</v>
      </c>
      <c r="B307" s="20" t="s">
        <v>305</v>
      </c>
      <c r="C307" s="13" t="s">
        <v>629</v>
      </c>
      <c r="D307" s="34">
        <v>37386</v>
      </c>
      <c r="F307" s="7"/>
      <c r="G307" s="7">
        <f t="shared" si="16"/>
        <v>0</v>
      </c>
      <c r="H307" s="7">
        <f t="shared" si="17"/>
        <v>0</v>
      </c>
      <c r="I307" s="7"/>
      <c r="J307" s="7">
        <f t="shared" si="18"/>
        <v>0</v>
      </c>
      <c r="L307">
        <v>37386</v>
      </c>
      <c r="M307" t="b">
        <f t="shared" si="19"/>
        <v>1</v>
      </c>
    </row>
    <row r="308" spans="1:13" x14ac:dyDescent="0.3">
      <c r="A308" s="18">
        <v>40102936</v>
      </c>
      <c r="B308" s="13" t="s">
        <v>306</v>
      </c>
      <c r="C308" s="13" t="s">
        <v>630</v>
      </c>
      <c r="D308" s="34">
        <v>26666</v>
      </c>
      <c r="F308" s="7"/>
      <c r="G308" s="7">
        <f t="shared" si="16"/>
        <v>0</v>
      </c>
      <c r="H308" s="7">
        <f t="shared" si="17"/>
        <v>0</v>
      </c>
      <c r="I308" s="7"/>
      <c r="J308" s="7">
        <f t="shared" si="18"/>
        <v>0</v>
      </c>
      <c r="L308">
        <v>26666</v>
      </c>
      <c r="M308" t="b">
        <f t="shared" si="19"/>
        <v>1</v>
      </c>
    </row>
    <row r="309" spans="1:13" x14ac:dyDescent="0.3">
      <c r="A309" s="18">
        <v>10929274</v>
      </c>
      <c r="B309" s="13" t="s">
        <v>307</v>
      </c>
      <c r="C309" s="13" t="s">
        <v>631</v>
      </c>
      <c r="D309" s="34">
        <v>24053</v>
      </c>
      <c r="F309" s="7"/>
      <c r="G309" s="7">
        <f t="shared" si="16"/>
        <v>0</v>
      </c>
      <c r="H309" s="7">
        <f t="shared" si="17"/>
        <v>0</v>
      </c>
      <c r="I309" s="7"/>
      <c r="J309" s="7">
        <f t="shared" si="18"/>
        <v>0</v>
      </c>
      <c r="L309">
        <v>24053</v>
      </c>
      <c r="M309" t="b">
        <f t="shared" si="19"/>
        <v>1</v>
      </c>
    </row>
    <row r="310" spans="1:13" x14ac:dyDescent="0.3">
      <c r="A310" s="18">
        <v>10929273</v>
      </c>
      <c r="B310" s="13" t="s">
        <v>308</v>
      </c>
      <c r="C310" s="13" t="s">
        <v>632</v>
      </c>
      <c r="D310" s="34">
        <v>24053</v>
      </c>
      <c r="F310" s="7"/>
      <c r="G310" s="7">
        <f t="shared" si="16"/>
        <v>0</v>
      </c>
      <c r="H310" s="7">
        <f t="shared" si="17"/>
        <v>0</v>
      </c>
      <c r="I310" s="7"/>
      <c r="J310" s="7">
        <f t="shared" si="18"/>
        <v>0</v>
      </c>
      <c r="L310">
        <v>24053</v>
      </c>
      <c r="M310" t="b">
        <f t="shared" si="19"/>
        <v>1</v>
      </c>
    </row>
    <row r="311" spans="1:13" x14ac:dyDescent="0.3">
      <c r="A311" s="18">
        <v>38412071</v>
      </c>
      <c r="B311" s="13" t="s">
        <v>309</v>
      </c>
      <c r="C311" s="13" t="s">
        <v>633</v>
      </c>
      <c r="D311" s="34">
        <v>20033</v>
      </c>
      <c r="F311" s="7"/>
      <c r="G311" s="7">
        <f t="shared" si="16"/>
        <v>0</v>
      </c>
      <c r="H311" s="7">
        <f t="shared" si="17"/>
        <v>0</v>
      </c>
      <c r="I311" s="7"/>
      <c r="J311" s="7">
        <f t="shared" si="18"/>
        <v>0</v>
      </c>
      <c r="L311">
        <v>20033</v>
      </c>
      <c r="M311" t="b">
        <f t="shared" si="19"/>
        <v>1</v>
      </c>
    </row>
    <row r="312" spans="1:13" x14ac:dyDescent="0.3">
      <c r="A312" s="18">
        <v>29280326</v>
      </c>
      <c r="B312" s="13" t="s">
        <v>310</v>
      </c>
      <c r="C312" s="14" t="s">
        <v>716</v>
      </c>
      <c r="D312" s="34">
        <v>20033</v>
      </c>
      <c r="F312" s="7"/>
      <c r="G312" s="7">
        <f t="shared" si="16"/>
        <v>0</v>
      </c>
      <c r="H312" s="7">
        <f t="shared" si="17"/>
        <v>0</v>
      </c>
      <c r="I312" s="7"/>
      <c r="J312" s="7">
        <f t="shared" si="18"/>
        <v>0</v>
      </c>
      <c r="L312">
        <v>20033</v>
      </c>
      <c r="M312" t="b">
        <f t="shared" si="19"/>
        <v>1</v>
      </c>
    </row>
    <row r="313" spans="1:13" x14ac:dyDescent="0.3">
      <c r="A313" s="18">
        <v>38412101</v>
      </c>
      <c r="B313" s="13" t="s">
        <v>311</v>
      </c>
      <c r="C313" s="14" t="s">
        <v>717</v>
      </c>
      <c r="D313" s="34">
        <v>16616</v>
      </c>
      <c r="F313" s="7"/>
      <c r="G313" s="7">
        <f t="shared" si="16"/>
        <v>0</v>
      </c>
      <c r="H313" s="7">
        <f t="shared" si="17"/>
        <v>0</v>
      </c>
      <c r="I313" s="7"/>
      <c r="J313" s="7">
        <f t="shared" si="18"/>
        <v>0</v>
      </c>
      <c r="L313">
        <v>16616</v>
      </c>
      <c r="M313" t="b">
        <f t="shared" si="19"/>
        <v>1</v>
      </c>
    </row>
    <row r="314" spans="1:13" x14ac:dyDescent="0.3">
      <c r="A314" s="18">
        <v>5332788</v>
      </c>
      <c r="B314" s="13" t="s">
        <v>312</v>
      </c>
      <c r="C314" s="13" t="s">
        <v>634</v>
      </c>
      <c r="D314" s="34">
        <v>25326</v>
      </c>
      <c r="F314" s="7"/>
      <c r="G314" s="7">
        <f t="shared" si="16"/>
        <v>0</v>
      </c>
      <c r="H314" s="7">
        <f t="shared" si="17"/>
        <v>0</v>
      </c>
      <c r="I314" s="7"/>
      <c r="J314" s="7">
        <f t="shared" si="18"/>
        <v>0</v>
      </c>
      <c r="L314">
        <v>25326</v>
      </c>
      <c r="M314" t="b">
        <f t="shared" si="19"/>
        <v>1</v>
      </c>
    </row>
    <row r="315" spans="1:13" x14ac:dyDescent="0.3">
      <c r="A315" s="18">
        <v>5332789</v>
      </c>
      <c r="B315" s="13" t="s">
        <v>313</v>
      </c>
      <c r="C315" s="13" t="s">
        <v>635</v>
      </c>
      <c r="D315" s="34">
        <v>25326</v>
      </c>
      <c r="F315" s="7"/>
      <c r="G315" s="7">
        <f t="shared" si="16"/>
        <v>0</v>
      </c>
      <c r="H315" s="7">
        <f t="shared" si="17"/>
        <v>0</v>
      </c>
      <c r="I315" s="7"/>
      <c r="J315" s="7">
        <f t="shared" si="18"/>
        <v>0</v>
      </c>
      <c r="L315">
        <v>25326</v>
      </c>
      <c r="M315" t="b">
        <f t="shared" si="19"/>
        <v>1</v>
      </c>
    </row>
    <row r="316" spans="1:13" x14ac:dyDescent="0.3">
      <c r="A316" s="18">
        <v>51016959</v>
      </c>
      <c r="B316" s="13" t="s">
        <v>314</v>
      </c>
      <c r="C316" s="13" t="s">
        <v>636</v>
      </c>
      <c r="D316" s="34">
        <v>25326</v>
      </c>
      <c r="F316" s="7"/>
      <c r="G316" s="7">
        <f t="shared" si="16"/>
        <v>0</v>
      </c>
      <c r="H316" s="7">
        <f t="shared" si="17"/>
        <v>0</v>
      </c>
      <c r="I316" s="7"/>
      <c r="J316" s="7">
        <f t="shared" si="18"/>
        <v>0</v>
      </c>
      <c r="L316">
        <v>25326</v>
      </c>
      <c r="M316" t="b">
        <f t="shared" si="19"/>
        <v>1</v>
      </c>
    </row>
    <row r="317" spans="1:13" x14ac:dyDescent="0.3">
      <c r="A317" s="18">
        <v>40636333</v>
      </c>
      <c r="B317" s="13" t="s">
        <v>315</v>
      </c>
      <c r="C317" s="14" t="s">
        <v>718</v>
      </c>
      <c r="D317" s="34">
        <v>33366</v>
      </c>
      <c r="F317" s="7"/>
      <c r="G317" s="7">
        <f t="shared" si="16"/>
        <v>0</v>
      </c>
      <c r="H317" s="7">
        <f t="shared" si="17"/>
        <v>0</v>
      </c>
      <c r="I317" s="7"/>
      <c r="J317" s="7">
        <f t="shared" si="18"/>
        <v>0</v>
      </c>
      <c r="L317">
        <v>33366</v>
      </c>
      <c r="M317" t="b">
        <f t="shared" si="19"/>
        <v>1</v>
      </c>
    </row>
    <row r="318" spans="1:13" x14ac:dyDescent="0.3">
      <c r="A318" s="18">
        <v>50875168</v>
      </c>
      <c r="B318" s="13" t="s">
        <v>316</v>
      </c>
      <c r="C318" s="13" t="s">
        <v>637</v>
      </c>
      <c r="D318" s="34">
        <v>58826</v>
      </c>
      <c r="F318" s="7"/>
      <c r="G318" s="7">
        <f t="shared" si="16"/>
        <v>0</v>
      </c>
      <c r="H318" s="7">
        <f t="shared" si="17"/>
        <v>0</v>
      </c>
      <c r="I318" s="7"/>
      <c r="J318" s="7">
        <f t="shared" si="18"/>
        <v>0</v>
      </c>
      <c r="L318">
        <v>58826</v>
      </c>
      <c r="M318" t="b">
        <f t="shared" si="19"/>
        <v>1</v>
      </c>
    </row>
    <row r="319" spans="1:13" x14ac:dyDescent="0.3">
      <c r="A319" s="18">
        <v>51623281</v>
      </c>
      <c r="B319" s="39" t="s">
        <v>1099</v>
      </c>
      <c r="C319" s="13" t="s">
        <v>639</v>
      </c>
      <c r="D319" s="34">
        <v>3283</v>
      </c>
      <c r="F319" s="7"/>
      <c r="G319" s="7">
        <f t="shared" si="16"/>
        <v>0</v>
      </c>
      <c r="H319" s="7">
        <f t="shared" si="17"/>
        <v>0</v>
      </c>
      <c r="I319" s="7"/>
      <c r="J319" s="7">
        <f t="shared" si="18"/>
        <v>0</v>
      </c>
      <c r="L319">
        <v>3283</v>
      </c>
      <c r="M319" t="b">
        <f t="shared" si="19"/>
        <v>1</v>
      </c>
    </row>
    <row r="320" spans="1:13" x14ac:dyDescent="0.3">
      <c r="A320" s="18">
        <v>51897600</v>
      </c>
      <c r="B320" s="13" t="s">
        <v>318</v>
      </c>
      <c r="C320" s="13" t="s">
        <v>640</v>
      </c>
      <c r="D320" s="34">
        <v>16616</v>
      </c>
      <c r="F320" s="7"/>
      <c r="G320" s="7">
        <f t="shared" si="16"/>
        <v>0</v>
      </c>
      <c r="H320" s="7">
        <f t="shared" si="17"/>
        <v>0</v>
      </c>
      <c r="I320" s="7"/>
      <c r="J320" s="7">
        <f t="shared" si="18"/>
        <v>0</v>
      </c>
      <c r="L320">
        <v>16616</v>
      </c>
      <c r="M320" t="b">
        <f t="shared" si="19"/>
        <v>1</v>
      </c>
    </row>
    <row r="321" spans="1:13" x14ac:dyDescent="0.3">
      <c r="A321" s="18">
        <v>51989601</v>
      </c>
      <c r="B321" s="39" t="s">
        <v>1100</v>
      </c>
      <c r="C321" s="13" t="s">
        <v>641</v>
      </c>
      <c r="D321" s="34">
        <v>5963</v>
      </c>
      <c r="F321" s="7"/>
      <c r="G321" s="7">
        <f t="shared" si="16"/>
        <v>0</v>
      </c>
      <c r="H321" s="7">
        <f t="shared" si="17"/>
        <v>0</v>
      </c>
      <c r="I321" s="7"/>
      <c r="J321" s="7">
        <f t="shared" si="18"/>
        <v>0</v>
      </c>
      <c r="L321">
        <v>5963</v>
      </c>
      <c r="M321" t="b">
        <f t="shared" ref="M321:M383" si="20">D321=L321</f>
        <v>1</v>
      </c>
    </row>
    <row r="322" spans="1:13" x14ac:dyDescent="0.3">
      <c r="A322" s="18">
        <v>52390638</v>
      </c>
      <c r="B322" s="13" t="s">
        <v>319</v>
      </c>
      <c r="C322" s="13" t="s">
        <v>642</v>
      </c>
      <c r="D322" s="34">
        <v>35620</v>
      </c>
      <c r="F322" s="7"/>
      <c r="G322" s="7">
        <f t="shared" ref="G322:G385" si="21">IFERROR(VLOOKUP($F322,$A:$B,2,0),0)</f>
        <v>0</v>
      </c>
      <c r="H322" s="7">
        <f t="shared" ref="H322:H385" si="22">IFERROR(VLOOKUP($F322,$A:$D,3,0),0)</f>
        <v>0</v>
      </c>
      <c r="I322" s="7"/>
      <c r="J322" s="7">
        <f t="shared" ref="J322:J385" si="23">IFERROR(VLOOKUP($F322,$A:$D,4,0),0)</f>
        <v>0</v>
      </c>
      <c r="L322">
        <v>35620</v>
      </c>
      <c r="M322" t="b">
        <f t="shared" si="20"/>
        <v>1</v>
      </c>
    </row>
    <row r="323" spans="1:13" x14ac:dyDescent="0.3">
      <c r="A323" s="18">
        <v>52362395</v>
      </c>
      <c r="B323" s="13" t="s">
        <v>320</v>
      </c>
      <c r="C323" s="13" t="s">
        <v>643</v>
      </c>
      <c r="D323" s="34">
        <v>9685</v>
      </c>
      <c r="F323" s="7"/>
      <c r="G323" s="7">
        <f t="shared" si="21"/>
        <v>0</v>
      </c>
      <c r="H323" s="7">
        <f t="shared" si="22"/>
        <v>0</v>
      </c>
      <c r="I323" s="7"/>
      <c r="J323" s="7">
        <f t="shared" si="23"/>
        <v>0</v>
      </c>
      <c r="L323">
        <v>9685</v>
      </c>
      <c r="M323" t="b">
        <f t="shared" si="20"/>
        <v>1</v>
      </c>
    </row>
    <row r="324" spans="1:13" x14ac:dyDescent="0.3">
      <c r="A324" s="18">
        <v>52155415</v>
      </c>
      <c r="B324" s="13" t="s">
        <v>321</v>
      </c>
      <c r="C324" s="13" t="s">
        <v>644</v>
      </c>
      <c r="D324" s="34">
        <v>15343</v>
      </c>
      <c r="F324" s="7"/>
      <c r="G324" s="7">
        <f t="shared" si="21"/>
        <v>0</v>
      </c>
      <c r="H324" s="7">
        <f t="shared" si="22"/>
        <v>0</v>
      </c>
      <c r="I324" s="7"/>
      <c r="J324" s="7">
        <f t="shared" si="23"/>
        <v>0</v>
      </c>
      <c r="L324">
        <v>15343</v>
      </c>
      <c r="M324" t="b">
        <f t="shared" si="20"/>
        <v>1</v>
      </c>
    </row>
    <row r="325" spans="1:13" x14ac:dyDescent="0.3">
      <c r="A325" s="18">
        <v>52162444</v>
      </c>
      <c r="B325" s="13" t="s">
        <v>322</v>
      </c>
      <c r="C325" s="13" t="s">
        <v>645</v>
      </c>
      <c r="D325" s="34">
        <v>43416</v>
      </c>
      <c r="F325" s="7"/>
      <c r="G325" s="7">
        <f t="shared" si="21"/>
        <v>0</v>
      </c>
      <c r="H325" s="7">
        <f t="shared" si="22"/>
        <v>0</v>
      </c>
      <c r="I325" s="7"/>
      <c r="J325" s="7">
        <f t="shared" si="23"/>
        <v>0</v>
      </c>
      <c r="L325">
        <v>43416</v>
      </c>
      <c r="M325" t="b">
        <f t="shared" si="20"/>
        <v>1</v>
      </c>
    </row>
    <row r="326" spans="1:13" x14ac:dyDescent="0.3">
      <c r="A326" s="18">
        <v>52270898</v>
      </c>
      <c r="B326" s="13" t="s">
        <v>323</v>
      </c>
      <c r="C326" s="13" t="s">
        <v>646</v>
      </c>
      <c r="D326" s="34">
        <v>36046</v>
      </c>
      <c r="F326" s="7"/>
      <c r="G326" s="7">
        <f t="shared" si="21"/>
        <v>0</v>
      </c>
      <c r="H326" s="7">
        <f t="shared" si="22"/>
        <v>0</v>
      </c>
      <c r="I326" s="7"/>
      <c r="J326" s="7">
        <f t="shared" si="23"/>
        <v>0</v>
      </c>
      <c r="L326">
        <v>36046</v>
      </c>
      <c r="M326" t="b">
        <f t="shared" si="20"/>
        <v>1</v>
      </c>
    </row>
    <row r="327" spans="1:13" x14ac:dyDescent="0.3">
      <c r="A327" s="18">
        <v>52211558</v>
      </c>
      <c r="B327" s="13" t="s">
        <v>324</v>
      </c>
      <c r="C327" s="13" t="s">
        <v>647</v>
      </c>
      <c r="D327" s="34">
        <v>21976</v>
      </c>
      <c r="F327" s="7"/>
      <c r="G327" s="7">
        <f t="shared" si="21"/>
        <v>0</v>
      </c>
      <c r="H327" s="7">
        <f t="shared" si="22"/>
        <v>0</v>
      </c>
      <c r="I327" s="7"/>
      <c r="J327" s="7">
        <f t="shared" si="23"/>
        <v>0</v>
      </c>
      <c r="L327">
        <v>21976</v>
      </c>
      <c r="M327" t="b">
        <f t="shared" si="20"/>
        <v>1</v>
      </c>
    </row>
    <row r="328" spans="1:13" x14ac:dyDescent="0.3">
      <c r="A328" s="18">
        <v>52217000</v>
      </c>
      <c r="B328" s="13" t="s">
        <v>325</v>
      </c>
      <c r="C328" s="13" t="s">
        <v>648</v>
      </c>
      <c r="D328" s="34">
        <v>21976</v>
      </c>
      <c r="F328" s="7"/>
      <c r="G328" s="7">
        <f t="shared" si="21"/>
        <v>0</v>
      </c>
      <c r="H328" s="7">
        <f t="shared" si="22"/>
        <v>0</v>
      </c>
      <c r="I328" s="7"/>
      <c r="J328" s="7">
        <f t="shared" si="23"/>
        <v>0</v>
      </c>
      <c r="L328">
        <v>21976</v>
      </c>
      <c r="M328" t="b">
        <f t="shared" si="20"/>
        <v>1</v>
      </c>
    </row>
    <row r="329" spans="1:13" x14ac:dyDescent="0.3">
      <c r="A329" s="18">
        <v>51689222</v>
      </c>
      <c r="B329" s="13" t="s">
        <v>326</v>
      </c>
      <c r="C329" s="13" t="s">
        <v>649</v>
      </c>
      <c r="D329" s="34">
        <v>19966</v>
      </c>
      <c r="F329" s="7"/>
      <c r="G329" s="7">
        <f t="shared" si="21"/>
        <v>0</v>
      </c>
      <c r="H329" s="7">
        <f t="shared" si="22"/>
        <v>0</v>
      </c>
      <c r="I329" s="7"/>
      <c r="J329" s="7">
        <f t="shared" si="23"/>
        <v>0</v>
      </c>
      <c r="L329">
        <v>19966</v>
      </c>
      <c r="M329" t="b">
        <f t="shared" si="20"/>
        <v>1</v>
      </c>
    </row>
    <row r="330" spans="1:13" x14ac:dyDescent="0.3">
      <c r="A330" s="18">
        <v>51684787</v>
      </c>
      <c r="B330" s="13" t="s">
        <v>327</v>
      </c>
      <c r="C330" s="13" t="s">
        <v>650</v>
      </c>
      <c r="D330" s="34">
        <v>79060</v>
      </c>
      <c r="F330" s="7"/>
      <c r="G330" s="7">
        <f t="shared" si="21"/>
        <v>0</v>
      </c>
      <c r="H330" s="7">
        <f t="shared" si="22"/>
        <v>0</v>
      </c>
      <c r="I330" s="7"/>
      <c r="J330" s="7">
        <f t="shared" si="23"/>
        <v>0</v>
      </c>
      <c r="L330">
        <v>73030</v>
      </c>
      <c r="M330" t="b">
        <f t="shared" si="20"/>
        <v>0</v>
      </c>
    </row>
    <row r="331" spans="1:13" x14ac:dyDescent="0.3">
      <c r="A331" s="18">
        <v>51883980</v>
      </c>
      <c r="B331" s="13" t="s">
        <v>328</v>
      </c>
      <c r="C331" s="13" t="s">
        <v>651</v>
      </c>
      <c r="D331" s="34">
        <v>12328</v>
      </c>
      <c r="F331" s="7"/>
      <c r="G331" s="7">
        <f t="shared" si="21"/>
        <v>0</v>
      </c>
      <c r="H331" s="7">
        <f t="shared" si="22"/>
        <v>0</v>
      </c>
      <c r="I331" s="7"/>
      <c r="J331" s="7">
        <f t="shared" si="23"/>
        <v>0</v>
      </c>
      <c r="L331">
        <v>12328</v>
      </c>
      <c r="M331" t="b">
        <f t="shared" si="20"/>
        <v>1</v>
      </c>
    </row>
    <row r="332" spans="1:13" x14ac:dyDescent="0.3">
      <c r="A332" s="18">
        <v>51898514</v>
      </c>
      <c r="B332" s="13" t="s">
        <v>329</v>
      </c>
      <c r="C332" s="13" t="s">
        <v>652</v>
      </c>
      <c r="D332" s="34">
        <v>19966</v>
      </c>
      <c r="F332" s="7"/>
      <c r="G332" s="7">
        <f t="shared" si="21"/>
        <v>0</v>
      </c>
      <c r="H332" s="7">
        <f t="shared" si="22"/>
        <v>0</v>
      </c>
      <c r="I332" s="7"/>
      <c r="J332" s="7">
        <f t="shared" si="23"/>
        <v>0</v>
      </c>
      <c r="L332">
        <v>19966</v>
      </c>
      <c r="M332" t="b">
        <f t="shared" si="20"/>
        <v>1</v>
      </c>
    </row>
    <row r="333" spans="1:13" x14ac:dyDescent="0.3">
      <c r="A333" s="18">
        <v>52990015</v>
      </c>
      <c r="B333" s="13" t="s">
        <v>330</v>
      </c>
      <c r="C333" s="13" t="s">
        <v>653</v>
      </c>
      <c r="D333" s="34">
        <v>20033</v>
      </c>
      <c r="F333" s="7"/>
      <c r="G333" s="7">
        <f t="shared" si="21"/>
        <v>0</v>
      </c>
      <c r="H333" s="7">
        <f t="shared" si="22"/>
        <v>0</v>
      </c>
      <c r="I333" s="7"/>
      <c r="J333" s="7">
        <f t="shared" si="23"/>
        <v>0</v>
      </c>
      <c r="L333">
        <v>20033</v>
      </c>
      <c r="M333" t="b">
        <f t="shared" si="20"/>
        <v>1</v>
      </c>
    </row>
    <row r="334" spans="1:13" x14ac:dyDescent="0.3">
      <c r="A334" s="18">
        <v>52581507</v>
      </c>
      <c r="B334" s="13" t="s">
        <v>331</v>
      </c>
      <c r="C334" s="13" t="s">
        <v>654</v>
      </c>
      <c r="D334" s="34">
        <v>18626</v>
      </c>
      <c r="F334" s="7"/>
      <c r="G334" s="7">
        <f t="shared" si="21"/>
        <v>0</v>
      </c>
      <c r="H334" s="7">
        <f t="shared" si="22"/>
        <v>0</v>
      </c>
      <c r="I334" s="7"/>
      <c r="J334" s="7">
        <f t="shared" si="23"/>
        <v>0</v>
      </c>
      <c r="L334">
        <v>18626</v>
      </c>
      <c r="M334" t="b">
        <f t="shared" si="20"/>
        <v>1</v>
      </c>
    </row>
    <row r="335" spans="1:13" x14ac:dyDescent="0.3">
      <c r="A335" s="18">
        <v>52613211</v>
      </c>
      <c r="B335" s="13" t="s">
        <v>332</v>
      </c>
      <c r="C335" s="13" t="s">
        <v>655</v>
      </c>
      <c r="D335" s="34">
        <v>66330</v>
      </c>
      <c r="F335" s="7"/>
      <c r="G335" s="7">
        <f t="shared" si="21"/>
        <v>0</v>
      </c>
      <c r="H335" s="7">
        <f t="shared" si="22"/>
        <v>0</v>
      </c>
      <c r="I335" s="7"/>
      <c r="J335" s="7">
        <f t="shared" si="23"/>
        <v>0</v>
      </c>
      <c r="L335">
        <v>66330</v>
      </c>
      <c r="M335" t="b">
        <f t="shared" si="20"/>
        <v>1</v>
      </c>
    </row>
    <row r="336" spans="1:13" x14ac:dyDescent="0.3">
      <c r="A336" s="18">
        <v>52578670</v>
      </c>
      <c r="B336" s="13" t="s">
        <v>333</v>
      </c>
      <c r="C336" s="13" t="s">
        <v>656</v>
      </c>
      <c r="D336" s="34">
        <v>9313</v>
      </c>
      <c r="F336" s="7"/>
      <c r="G336" s="7">
        <f t="shared" si="21"/>
        <v>0</v>
      </c>
      <c r="H336" s="7">
        <f t="shared" si="22"/>
        <v>0</v>
      </c>
      <c r="I336" s="7"/>
      <c r="J336" s="7">
        <f t="shared" si="23"/>
        <v>0</v>
      </c>
      <c r="L336">
        <v>9313</v>
      </c>
      <c r="M336" t="b">
        <f t="shared" si="20"/>
        <v>1</v>
      </c>
    </row>
    <row r="337" spans="1:13" x14ac:dyDescent="0.3">
      <c r="A337" s="18">
        <v>52874174</v>
      </c>
      <c r="B337" s="13" t="s">
        <v>334</v>
      </c>
      <c r="C337" s="13" t="s">
        <v>657</v>
      </c>
      <c r="D337" s="34">
        <v>26666</v>
      </c>
      <c r="F337" s="7"/>
      <c r="G337" s="7">
        <f t="shared" si="21"/>
        <v>0</v>
      </c>
      <c r="H337" s="7">
        <f t="shared" si="22"/>
        <v>0</v>
      </c>
      <c r="I337" s="7"/>
      <c r="J337" s="7">
        <f t="shared" si="23"/>
        <v>0</v>
      </c>
      <c r="L337">
        <v>26666</v>
      </c>
      <c r="M337" t="b">
        <f t="shared" si="20"/>
        <v>1</v>
      </c>
    </row>
    <row r="338" spans="1:13" x14ac:dyDescent="0.3">
      <c r="A338" s="18">
        <v>52872566</v>
      </c>
      <c r="B338" s="13" t="s">
        <v>335</v>
      </c>
      <c r="C338" s="13" t="s">
        <v>658</v>
      </c>
      <c r="D338" s="34">
        <v>51590</v>
      </c>
      <c r="F338" s="7"/>
      <c r="G338" s="7">
        <f t="shared" si="21"/>
        <v>0</v>
      </c>
      <c r="H338" s="7">
        <f t="shared" si="22"/>
        <v>0</v>
      </c>
      <c r="I338" s="7"/>
      <c r="J338" s="7">
        <f t="shared" si="23"/>
        <v>0</v>
      </c>
      <c r="L338">
        <v>51590</v>
      </c>
      <c r="M338" t="b">
        <f t="shared" si="20"/>
        <v>1</v>
      </c>
    </row>
    <row r="339" spans="1:13" x14ac:dyDescent="0.3">
      <c r="A339" s="18">
        <v>54145830</v>
      </c>
      <c r="B339" s="13" t="s">
        <v>336</v>
      </c>
      <c r="C339" s="13" t="s">
        <v>659</v>
      </c>
      <c r="D339" s="34">
        <v>52930</v>
      </c>
      <c r="F339" s="7"/>
      <c r="G339" s="7">
        <f t="shared" si="21"/>
        <v>0</v>
      </c>
      <c r="H339" s="7">
        <f t="shared" si="22"/>
        <v>0</v>
      </c>
      <c r="I339" s="7"/>
      <c r="J339" s="7">
        <f t="shared" si="23"/>
        <v>0</v>
      </c>
      <c r="L339">
        <v>65660</v>
      </c>
      <c r="M339" t="b">
        <f t="shared" si="20"/>
        <v>0</v>
      </c>
    </row>
    <row r="340" spans="1:13" x14ac:dyDescent="0.3">
      <c r="A340" s="18">
        <v>53052265</v>
      </c>
      <c r="B340" s="13" t="s">
        <v>337</v>
      </c>
      <c r="C340" s="13" t="s">
        <v>660</v>
      </c>
      <c r="D340" s="34">
        <v>64990</v>
      </c>
      <c r="F340" s="7"/>
      <c r="G340" s="7">
        <f t="shared" si="21"/>
        <v>0</v>
      </c>
      <c r="H340" s="7">
        <f t="shared" si="22"/>
        <v>0</v>
      </c>
      <c r="I340" s="7"/>
      <c r="J340" s="7">
        <f t="shared" si="23"/>
        <v>0</v>
      </c>
      <c r="L340">
        <v>64990</v>
      </c>
      <c r="M340" t="b">
        <f t="shared" si="20"/>
        <v>1</v>
      </c>
    </row>
    <row r="341" spans="1:13" x14ac:dyDescent="0.3">
      <c r="A341" s="18">
        <v>53297446</v>
      </c>
      <c r="B341" s="13" t="s">
        <v>338</v>
      </c>
      <c r="C341" s="13" t="s">
        <v>661</v>
      </c>
      <c r="D341" s="34">
        <v>92460</v>
      </c>
      <c r="F341" s="7"/>
      <c r="G341" s="7">
        <f t="shared" si="21"/>
        <v>0</v>
      </c>
      <c r="H341" s="7">
        <f t="shared" si="22"/>
        <v>0</v>
      </c>
      <c r="I341" s="7"/>
      <c r="J341" s="7">
        <f t="shared" si="23"/>
        <v>0</v>
      </c>
      <c r="L341">
        <v>92460</v>
      </c>
      <c r="M341" t="b">
        <f t="shared" si="20"/>
        <v>1</v>
      </c>
    </row>
    <row r="342" spans="1:13" x14ac:dyDescent="0.3">
      <c r="A342" s="18">
        <v>53583387</v>
      </c>
      <c r="B342" s="13" t="s">
        <v>339</v>
      </c>
      <c r="C342" s="13" t="s">
        <v>662</v>
      </c>
      <c r="D342" s="34">
        <v>14129</v>
      </c>
      <c r="F342" s="7"/>
      <c r="G342" s="7">
        <f t="shared" si="21"/>
        <v>0</v>
      </c>
      <c r="H342" s="7">
        <f t="shared" si="22"/>
        <v>0</v>
      </c>
      <c r="I342" s="7"/>
      <c r="J342" s="7">
        <f t="shared" si="23"/>
        <v>0</v>
      </c>
      <c r="L342">
        <v>14129</v>
      </c>
      <c r="M342" t="b">
        <f t="shared" si="20"/>
        <v>1</v>
      </c>
    </row>
    <row r="343" spans="1:13" x14ac:dyDescent="0.3">
      <c r="A343" s="18">
        <v>53564659</v>
      </c>
      <c r="B343" s="13" t="s">
        <v>340</v>
      </c>
      <c r="C343" s="13" t="s">
        <v>663</v>
      </c>
      <c r="D343" s="34">
        <v>14129</v>
      </c>
      <c r="F343" s="7"/>
      <c r="G343" s="7">
        <f t="shared" si="21"/>
        <v>0</v>
      </c>
      <c r="H343" s="7">
        <f t="shared" si="22"/>
        <v>0</v>
      </c>
      <c r="I343" s="7"/>
      <c r="J343" s="7">
        <f t="shared" si="23"/>
        <v>0</v>
      </c>
      <c r="L343">
        <v>14129</v>
      </c>
      <c r="M343" t="b">
        <f t="shared" si="20"/>
        <v>1</v>
      </c>
    </row>
    <row r="344" spans="1:13" x14ac:dyDescent="0.3">
      <c r="A344" s="18">
        <v>53569741</v>
      </c>
      <c r="B344" s="13" t="s">
        <v>341</v>
      </c>
      <c r="C344" s="13" t="s">
        <v>664</v>
      </c>
      <c r="D344" s="34">
        <v>14129</v>
      </c>
      <c r="F344" s="7"/>
      <c r="G344" s="7">
        <f t="shared" si="21"/>
        <v>0</v>
      </c>
      <c r="H344" s="7">
        <f t="shared" si="22"/>
        <v>0</v>
      </c>
      <c r="I344" s="7"/>
      <c r="J344" s="7">
        <f t="shared" si="23"/>
        <v>0</v>
      </c>
      <c r="L344">
        <v>14129</v>
      </c>
      <c r="M344" t="b">
        <f t="shared" si="20"/>
        <v>1</v>
      </c>
    </row>
    <row r="345" spans="1:13" x14ac:dyDescent="0.3">
      <c r="A345" s="18">
        <v>53680118</v>
      </c>
      <c r="B345" s="13" t="s">
        <v>342</v>
      </c>
      <c r="C345" s="13" t="s">
        <v>665</v>
      </c>
      <c r="D345" s="34">
        <v>14673</v>
      </c>
      <c r="F345" s="7"/>
      <c r="G345" s="7">
        <f t="shared" si="21"/>
        <v>0</v>
      </c>
      <c r="H345" s="7">
        <f t="shared" si="22"/>
        <v>0</v>
      </c>
      <c r="I345" s="7"/>
      <c r="J345" s="7">
        <f t="shared" si="23"/>
        <v>0</v>
      </c>
      <c r="L345">
        <v>14673</v>
      </c>
      <c r="M345" t="b">
        <f t="shared" si="20"/>
        <v>1</v>
      </c>
    </row>
    <row r="346" spans="1:13" x14ac:dyDescent="0.3">
      <c r="A346" s="18">
        <v>53776254</v>
      </c>
      <c r="B346" s="13" t="s">
        <v>343</v>
      </c>
      <c r="C346" s="13" t="s">
        <v>666</v>
      </c>
      <c r="D346" s="34">
        <v>21976</v>
      </c>
      <c r="F346" s="7"/>
      <c r="G346" s="7">
        <f t="shared" si="21"/>
        <v>0</v>
      </c>
      <c r="H346" s="7">
        <f t="shared" si="22"/>
        <v>0</v>
      </c>
      <c r="I346" s="7"/>
      <c r="J346" s="7">
        <f t="shared" si="23"/>
        <v>0</v>
      </c>
      <c r="L346">
        <v>21976</v>
      </c>
      <c r="M346" t="b">
        <f t="shared" si="20"/>
        <v>1</v>
      </c>
    </row>
    <row r="347" spans="1:13" x14ac:dyDescent="0.3">
      <c r="A347" s="18">
        <v>53967042</v>
      </c>
      <c r="B347" s="13" t="s">
        <v>344</v>
      </c>
      <c r="C347" s="13" t="s">
        <v>667</v>
      </c>
      <c r="D347" s="34">
        <v>52930</v>
      </c>
      <c r="F347" s="7"/>
      <c r="G347" s="7">
        <f t="shared" si="21"/>
        <v>0</v>
      </c>
      <c r="H347" s="7">
        <f t="shared" si="22"/>
        <v>0</v>
      </c>
      <c r="I347" s="7"/>
      <c r="J347" s="7">
        <f t="shared" si="23"/>
        <v>0</v>
      </c>
      <c r="L347">
        <v>52930</v>
      </c>
      <c r="M347" t="b">
        <f t="shared" si="20"/>
        <v>1</v>
      </c>
    </row>
    <row r="348" spans="1:13" x14ac:dyDescent="0.3">
      <c r="A348" s="18">
        <v>55275736</v>
      </c>
      <c r="B348" s="13" t="s">
        <v>345</v>
      </c>
      <c r="C348" s="13" t="s">
        <v>668</v>
      </c>
      <c r="D348" s="34">
        <v>52260</v>
      </c>
      <c r="F348" s="7"/>
      <c r="G348" s="7">
        <f t="shared" si="21"/>
        <v>0</v>
      </c>
      <c r="H348" s="7">
        <f t="shared" si="22"/>
        <v>0</v>
      </c>
      <c r="I348" s="7"/>
      <c r="J348" s="7">
        <f t="shared" si="23"/>
        <v>0</v>
      </c>
      <c r="L348">
        <v>52260</v>
      </c>
      <c r="M348" t="b">
        <f t="shared" si="20"/>
        <v>1</v>
      </c>
    </row>
    <row r="349" spans="1:13" x14ac:dyDescent="0.25">
      <c r="A349" s="18">
        <v>56663811</v>
      </c>
      <c r="B349" s="25" t="s">
        <v>346</v>
      </c>
      <c r="C349" s="13" t="s">
        <v>669</v>
      </c>
      <c r="D349" s="34">
        <v>40800</v>
      </c>
      <c r="F349" s="7"/>
      <c r="G349" s="7">
        <f t="shared" si="21"/>
        <v>0</v>
      </c>
      <c r="H349" s="7">
        <f t="shared" si="22"/>
        <v>0</v>
      </c>
      <c r="I349" s="7"/>
      <c r="J349" s="7">
        <f t="shared" si="23"/>
        <v>0</v>
      </c>
      <c r="L349">
        <v>40800</v>
      </c>
      <c r="M349" t="b">
        <f t="shared" si="20"/>
        <v>1</v>
      </c>
    </row>
    <row r="350" spans="1:13" x14ac:dyDescent="0.3">
      <c r="A350" s="18">
        <v>55369678</v>
      </c>
      <c r="B350" s="13" t="s">
        <v>348</v>
      </c>
      <c r="C350" s="13" t="s">
        <v>671</v>
      </c>
      <c r="D350" s="34">
        <v>46833</v>
      </c>
      <c r="F350" s="7"/>
      <c r="G350" s="7">
        <f t="shared" si="21"/>
        <v>0</v>
      </c>
      <c r="H350" s="7">
        <f t="shared" si="22"/>
        <v>0</v>
      </c>
      <c r="I350" s="7"/>
      <c r="J350" s="7">
        <f t="shared" si="23"/>
        <v>0</v>
      </c>
      <c r="L350">
        <v>46833</v>
      </c>
      <c r="M350" t="b">
        <f t="shared" si="20"/>
        <v>1</v>
      </c>
    </row>
    <row r="351" spans="1:13" x14ac:dyDescent="0.3">
      <c r="A351" s="18">
        <v>55354052</v>
      </c>
      <c r="B351" s="13" t="s">
        <v>349</v>
      </c>
      <c r="C351" s="13" t="s">
        <v>672</v>
      </c>
      <c r="D351" s="34">
        <v>40066</v>
      </c>
      <c r="F351" s="7"/>
      <c r="G351" s="7">
        <f t="shared" si="21"/>
        <v>0</v>
      </c>
      <c r="H351" s="7">
        <f t="shared" si="22"/>
        <v>0</v>
      </c>
      <c r="I351" s="7"/>
      <c r="J351" s="7">
        <f t="shared" si="23"/>
        <v>0</v>
      </c>
      <c r="L351">
        <v>40066</v>
      </c>
      <c r="M351" t="b">
        <f t="shared" si="20"/>
        <v>1</v>
      </c>
    </row>
    <row r="352" spans="1:13" x14ac:dyDescent="0.3">
      <c r="A352" s="18">
        <v>55381383</v>
      </c>
      <c r="B352" s="13" t="s">
        <v>350</v>
      </c>
      <c r="C352" s="13" t="s">
        <v>673</v>
      </c>
      <c r="D352" s="34">
        <v>3618</v>
      </c>
      <c r="F352" s="7"/>
      <c r="G352" s="7">
        <f t="shared" si="21"/>
        <v>0</v>
      </c>
      <c r="H352" s="7">
        <f t="shared" si="22"/>
        <v>0</v>
      </c>
      <c r="I352" s="7"/>
      <c r="J352" s="7">
        <f t="shared" si="23"/>
        <v>0</v>
      </c>
      <c r="L352">
        <v>3618</v>
      </c>
      <c r="M352" t="b">
        <f t="shared" si="20"/>
        <v>1</v>
      </c>
    </row>
    <row r="353" spans="1:13" x14ac:dyDescent="0.3">
      <c r="A353" s="18">
        <v>55609278</v>
      </c>
      <c r="B353" s="13" t="s">
        <v>351</v>
      </c>
      <c r="C353" s="13" t="s">
        <v>674</v>
      </c>
      <c r="D353" s="34">
        <v>6298</v>
      </c>
      <c r="F353" s="7"/>
      <c r="G353" s="7">
        <f t="shared" si="21"/>
        <v>0</v>
      </c>
      <c r="H353" s="7">
        <f t="shared" si="22"/>
        <v>0</v>
      </c>
      <c r="I353" s="7"/>
      <c r="J353" s="7">
        <f t="shared" si="23"/>
        <v>0</v>
      </c>
      <c r="L353">
        <v>6298</v>
      </c>
      <c r="M353" t="b">
        <f t="shared" si="20"/>
        <v>1</v>
      </c>
    </row>
    <row r="354" spans="1:13" x14ac:dyDescent="0.3">
      <c r="A354" s="18">
        <v>55356212</v>
      </c>
      <c r="B354" s="13" t="s">
        <v>352</v>
      </c>
      <c r="C354" s="13" t="s">
        <v>675</v>
      </c>
      <c r="D354" s="34">
        <v>51590</v>
      </c>
      <c r="F354" s="7"/>
      <c r="G354" s="7">
        <f t="shared" si="21"/>
        <v>0</v>
      </c>
      <c r="H354" s="7">
        <f t="shared" si="22"/>
        <v>0</v>
      </c>
      <c r="I354" s="7"/>
      <c r="J354" s="7">
        <f t="shared" si="23"/>
        <v>0</v>
      </c>
      <c r="L354">
        <v>51590</v>
      </c>
      <c r="M354" t="b">
        <f t="shared" si="20"/>
        <v>1</v>
      </c>
    </row>
    <row r="355" spans="1:13" x14ac:dyDescent="0.3">
      <c r="A355" s="18">
        <v>55449180</v>
      </c>
      <c r="B355" s="13" t="s">
        <v>353</v>
      </c>
      <c r="C355" s="13" t="s">
        <v>676</v>
      </c>
      <c r="D355" s="34">
        <v>3618</v>
      </c>
      <c r="F355" s="7"/>
      <c r="G355" s="7">
        <f t="shared" si="21"/>
        <v>0</v>
      </c>
      <c r="H355" s="7">
        <f t="shared" si="22"/>
        <v>0</v>
      </c>
      <c r="I355" s="7"/>
      <c r="J355" s="7">
        <f t="shared" si="23"/>
        <v>0</v>
      </c>
      <c r="L355">
        <v>3618</v>
      </c>
      <c r="M355" t="b">
        <f t="shared" si="20"/>
        <v>1</v>
      </c>
    </row>
    <row r="356" spans="1:13" x14ac:dyDescent="0.3">
      <c r="A356" s="18">
        <v>55357095</v>
      </c>
      <c r="B356" s="13" t="s">
        <v>354</v>
      </c>
      <c r="C356" s="13" t="s">
        <v>677</v>
      </c>
      <c r="D356" s="34">
        <v>26666</v>
      </c>
      <c r="F356" s="7"/>
      <c r="G356" s="7">
        <f t="shared" si="21"/>
        <v>0</v>
      </c>
      <c r="H356" s="7">
        <f t="shared" si="22"/>
        <v>0</v>
      </c>
      <c r="I356" s="7"/>
      <c r="J356" s="7">
        <f t="shared" si="23"/>
        <v>0</v>
      </c>
      <c r="L356">
        <v>25326</v>
      </c>
      <c r="M356" t="b">
        <f t="shared" si="20"/>
        <v>0</v>
      </c>
    </row>
    <row r="357" spans="1:13" x14ac:dyDescent="0.3">
      <c r="A357" s="18">
        <v>55384739</v>
      </c>
      <c r="B357" s="13" t="s">
        <v>355</v>
      </c>
      <c r="C357" s="13" t="s">
        <v>678</v>
      </c>
      <c r="D357" s="34">
        <v>3618</v>
      </c>
      <c r="F357" s="7"/>
      <c r="G357" s="7">
        <f t="shared" si="21"/>
        <v>0</v>
      </c>
      <c r="H357" s="7">
        <f t="shared" si="22"/>
        <v>0</v>
      </c>
      <c r="I357" s="7"/>
      <c r="J357" s="7">
        <f t="shared" si="23"/>
        <v>0</v>
      </c>
      <c r="L357">
        <v>3618</v>
      </c>
      <c r="M357" t="b">
        <f t="shared" si="20"/>
        <v>1</v>
      </c>
    </row>
    <row r="358" spans="1:13" x14ac:dyDescent="0.3">
      <c r="A358" s="18">
        <v>55357155</v>
      </c>
      <c r="B358" s="13" t="s">
        <v>356</v>
      </c>
      <c r="C358" s="13" t="s">
        <v>679</v>
      </c>
      <c r="D358" s="34">
        <v>25393</v>
      </c>
      <c r="F358" s="7"/>
      <c r="G358" s="7">
        <f t="shared" si="21"/>
        <v>0</v>
      </c>
      <c r="H358" s="7">
        <f t="shared" si="22"/>
        <v>0</v>
      </c>
      <c r="I358" s="7"/>
      <c r="J358" s="7">
        <f t="shared" si="23"/>
        <v>0</v>
      </c>
      <c r="L358">
        <v>25393</v>
      </c>
      <c r="M358" t="b">
        <f t="shared" si="20"/>
        <v>1</v>
      </c>
    </row>
    <row r="359" spans="1:13" x14ac:dyDescent="0.3">
      <c r="A359" s="18">
        <v>55389336</v>
      </c>
      <c r="B359" s="13" t="s">
        <v>357</v>
      </c>
      <c r="C359" s="13" t="s">
        <v>680</v>
      </c>
      <c r="D359" s="34">
        <v>3618</v>
      </c>
      <c r="F359" s="7"/>
      <c r="G359" s="7">
        <f t="shared" si="21"/>
        <v>0</v>
      </c>
      <c r="H359" s="7">
        <f t="shared" si="22"/>
        <v>0</v>
      </c>
      <c r="I359" s="7"/>
      <c r="J359" s="7">
        <f t="shared" si="23"/>
        <v>0</v>
      </c>
      <c r="L359">
        <v>3618</v>
      </c>
      <c r="M359" t="b">
        <f t="shared" si="20"/>
        <v>1</v>
      </c>
    </row>
    <row r="360" spans="1:13" x14ac:dyDescent="0.3">
      <c r="A360" s="18">
        <v>55356388</v>
      </c>
      <c r="B360" s="13" t="s">
        <v>358</v>
      </c>
      <c r="C360" s="13" t="s">
        <v>681</v>
      </c>
      <c r="D360" s="34">
        <v>56883</v>
      </c>
      <c r="F360" s="7"/>
      <c r="G360" s="7">
        <f t="shared" si="21"/>
        <v>0</v>
      </c>
      <c r="H360" s="7">
        <f t="shared" si="22"/>
        <v>0</v>
      </c>
      <c r="I360" s="7"/>
      <c r="J360" s="7">
        <f t="shared" si="23"/>
        <v>0</v>
      </c>
      <c r="L360">
        <v>56883</v>
      </c>
      <c r="M360" t="b">
        <f t="shared" si="20"/>
        <v>1</v>
      </c>
    </row>
    <row r="361" spans="1:13" x14ac:dyDescent="0.3">
      <c r="A361" s="18">
        <v>55610213</v>
      </c>
      <c r="B361" s="13" t="s">
        <v>5</v>
      </c>
      <c r="C361" s="13" t="s">
        <v>9</v>
      </c>
      <c r="D361" s="34">
        <v>65660</v>
      </c>
      <c r="F361" s="7"/>
      <c r="G361" s="7">
        <f t="shared" si="21"/>
        <v>0</v>
      </c>
      <c r="H361" s="7">
        <f t="shared" si="22"/>
        <v>0</v>
      </c>
      <c r="I361" s="7"/>
      <c r="J361" s="7">
        <f t="shared" si="23"/>
        <v>0</v>
      </c>
      <c r="L361">
        <v>65660</v>
      </c>
      <c r="M361" t="b">
        <f t="shared" si="20"/>
        <v>1</v>
      </c>
    </row>
    <row r="362" spans="1:13" x14ac:dyDescent="0.3">
      <c r="A362" s="18">
        <v>55462718</v>
      </c>
      <c r="B362" s="13" t="s">
        <v>359</v>
      </c>
      <c r="C362" s="13" t="s">
        <v>682</v>
      </c>
      <c r="D362" s="34">
        <v>39396</v>
      </c>
      <c r="F362" s="7"/>
      <c r="G362" s="7">
        <f t="shared" si="21"/>
        <v>0</v>
      </c>
      <c r="H362" s="7">
        <f t="shared" si="22"/>
        <v>0</v>
      </c>
      <c r="I362" s="7"/>
      <c r="J362" s="7">
        <f t="shared" si="23"/>
        <v>0</v>
      </c>
      <c r="L362">
        <v>39396</v>
      </c>
      <c r="M362" t="b">
        <f t="shared" si="20"/>
        <v>1</v>
      </c>
    </row>
    <row r="363" spans="1:13" x14ac:dyDescent="0.3">
      <c r="A363" s="18">
        <v>58084222</v>
      </c>
      <c r="B363" s="13" t="s">
        <v>360</v>
      </c>
      <c r="C363" s="13" t="s">
        <v>683</v>
      </c>
      <c r="D363" s="34">
        <v>33433</v>
      </c>
      <c r="F363" s="7"/>
      <c r="G363" s="7">
        <f t="shared" si="21"/>
        <v>0</v>
      </c>
      <c r="H363" s="7">
        <f t="shared" si="22"/>
        <v>0</v>
      </c>
      <c r="I363" s="7"/>
      <c r="J363" s="7">
        <f t="shared" si="23"/>
        <v>0</v>
      </c>
      <c r="L363">
        <v>33433</v>
      </c>
      <c r="M363" t="b">
        <f t="shared" si="20"/>
        <v>1</v>
      </c>
    </row>
    <row r="364" spans="1:13" x14ac:dyDescent="0.3">
      <c r="A364" s="18">
        <v>56651433</v>
      </c>
      <c r="B364" s="13" t="s">
        <v>361</v>
      </c>
      <c r="C364" s="13" t="s">
        <v>684</v>
      </c>
      <c r="D364" s="34">
        <v>33433</v>
      </c>
      <c r="F364" s="7"/>
      <c r="G364" s="7">
        <f t="shared" si="21"/>
        <v>0</v>
      </c>
      <c r="H364" s="7">
        <f t="shared" si="22"/>
        <v>0</v>
      </c>
      <c r="I364" s="7"/>
      <c r="J364" s="7">
        <f t="shared" si="23"/>
        <v>0</v>
      </c>
      <c r="L364">
        <v>33433</v>
      </c>
      <c r="M364" t="b">
        <f t="shared" si="20"/>
        <v>1</v>
      </c>
    </row>
    <row r="365" spans="1:13" x14ac:dyDescent="0.3">
      <c r="A365" s="18">
        <v>56479851</v>
      </c>
      <c r="B365" s="13" t="s">
        <v>362</v>
      </c>
      <c r="C365" s="13" t="s">
        <v>685</v>
      </c>
      <c r="D365" s="34">
        <v>26260</v>
      </c>
      <c r="F365" s="7"/>
      <c r="G365" s="7">
        <f t="shared" si="21"/>
        <v>0</v>
      </c>
      <c r="H365" s="7">
        <f t="shared" si="22"/>
        <v>0</v>
      </c>
      <c r="I365" s="7"/>
      <c r="J365" s="7">
        <f t="shared" si="23"/>
        <v>0</v>
      </c>
      <c r="L365">
        <v>26260</v>
      </c>
      <c r="M365" t="b">
        <f t="shared" si="20"/>
        <v>1</v>
      </c>
    </row>
    <row r="366" spans="1:13" x14ac:dyDescent="0.3">
      <c r="A366" s="18">
        <v>56667264</v>
      </c>
      <c r="B366" s="13" t="s">
        <v>363</v>
      </c>
      <c r="C366" s="13" t="s">
        <v>686</v>
      </c>
      <c r="D366" s="34">
        <v>42746</v>
      </c>
      <c r="F366" s="7"/>
      <c r="G366" s="7">
        <f t="shared" si="21"/>
        <v>0</v>
      </c>
      <c r="H366" s="7">
        <f t="shared" si="22"/>
        <v>0</v>
      </c>
      <c r="I366" s="7"/>
      <c r="J366" s="7">
        <f t="shared" si="23"/>
        <v>0</v>
      </c>
      <c r="L366">
        <v>42746</v>
      </c>
      <c r="M366" t="b">
        <f t="shared" si="20"/>
        <v>1</v>
      </c>
    </row>
    <row r="367" spans="1:13" s="33" customFormat="1" x14ac:dyDescent="0.3">
      <c r="A367" s="40">
        <v>56896464</v>
      </c>
      <c r="B367" s="21" t="s">
        <v>1161</v>
      </c>
      <c r="C367" s="21" t="s">
        <v>1162</v>
      </c>
      <c r="D367" s="35">
        <v>38793</v>
      </c>
      <c r="F367" s="41"/>
      <c r="G367" s="41">
        <f t="shared" si="21"/>
        <v>0</v>
      </c>
      <c r="H367" s="41">
        <f t="shared" si="22"/>
        <v>0</v>
      </c>
      <c r="I367" s="41"/>
      <c r="J367" s="41">
        <f t="shared" si="23"/>
        <v>0</v>
      </c>
      <c r="L367" s="33">
        <v>38793</v>
      </c>
      <c r="M367" s="33" t="b">
        <f t="shared" si="20"/>
        <v>1</v>
      </c>
    </row>
    <row r="368" spans="1:13" x14ac:dyDescent="0.3">
      <c r="A368" s="18">
        <v>57592449</v>
      </c>
      <c r="B368" s="13" t="s">
        <v>364</v>
      </c>
      <c r="C368" s="13" t="s">
        <v>687</v>
      </c>
      <c r="D368" s="34">
        <v>24388</v>
      </c>
      <c r="F368" s="7"/>
      <c r="G368" s="7">
        <f t="shared" si="21"/>
        <v>0</v>
      </c>
      <c r="H368" s="7">
        <f t="shared" si="22"/>
        <v>0</v>
      </c>
      <c r="I368" s="7"/>
      <c r="J368" s="7">
        <f t="shared" si="23"/>
        <v>0</v>
      </c>
      <c r="L368">
        <v>24388</v>
      </c>
      <c r="M368" t="b">
        <f t="shared" si="20"/>
        <v>1</v>
      </c>
    </row>
    <row r="369" spans="1:13" x14ac:dyDescent="0.3">
      <c r="A369" s="18">
        <v>56183402</v>
      </c>
      <c r="B369" s="13" t="s">
        <v>365</v>
      </c>
      <c r="C369" s="13" t="s">
        <v>688</v>
      </c>
      <c r="D369" s="34">
        <v>18693</v>
      </c>
      <c r="F369" s="7"/>
      <c r="G369" s="7">
        <f t="shared" si="21"/>
        <v>0</v>
      </c>
      <c r="H369" s="7">
        <f t="shared" si="22"/>
        <v>0</v>
      </c>
      <c r="I369" s="7"/>
      <c r="J369" s="7">
        <f t="shared" si="23"/>
        <v>0</v>
      </c>
      <c r="L369">
        <v>18693</v>
      </c>
      <c r="M369" t="b">
        <f t="shared" si="20"/>
        <v>1</v>
      </c>
    </row>
    <row r="370" spans="1:13" x14ac:dyDescent="0.3">
      <c r="A370" s="26">
        <v>56651667</v>
      </c>
      <c r="B370" s="27" t="s">
        <v>366</v>
      </c>
      <c r="C370" s="13" t="s">
        <v>689</v>
      </c>
      <c r="D370" s="34">
        <v>33366</v>
      </c>
      <c r="F370" s="7"/>
      <c r="G370" s="7">
        <f t="shared" si="21"/>
        <v>0</v>
      </c>
      <c r="H370" s="7">
        <f t="shared" si="22"/>
        <v>0</v>
      </c>
      <c r="I370" s="7"/>
      <c r="J370" s="7">
        <f t="shared" si="23"/>
        <v>0</v>
      </c>
      <c r="L370">
        <v>33366</v>
      </c>
      <c r="M370" t="b">
        <f t="shared" si="20"/>
        <v>1</v>
      </c>
    </row>
    <row r="371" spans="1:13" x14ac:dyDescent="0.3">
      <c r="A371" s="26">
        <v>57422656</v>
      </c>
      <c r="B371" s="27" t="s">
        <v>367</v>
      </c>
      <c r="C371" s="13" t="s">
        <v>690</v>
      </c>
      <c r="D371" s="34">
        <v>32093</v>
      </c>
      <c r="F371" s="7"/>
      <c r="G371" s="7">
        <f t="shared" si="21"/>
        <v>0</v>
      </c>
      <c r="H371" s="7">
        <f t="shared" si="22"/>
        <v>0</v>
      </c>
      <c r="I371" s="7"/>
      <c r="J371" s="7">
        <f t="shared" si="23"/>
        <v>0</v>
      </c>
      <c r="L371">
        <v>32093</v>
      </c>
      <c r="M371" t="b">
        <f t="shared" si="20"/>
        <v>1</v>
      </c>
    </row>
    <row r="372" spans="1:13" x14ac:dyDescent="0.3">
      <c r="A372" s="26">
        <v>58040260</v>
      </c>
      <c r="B372" s="27" t="s">
        <v>368</v>
      </c>
      <c r="C372" s="13" t="s">
        <v>691</v>
      </c>
      <c r="D372" s="34">
        <v>26666</v>
      </c>
      <c r="F372" s="7"/>
      <c r="G372" s="7">
        <f t="shared" si="21"/>
        <v>0</v>
      </c>
      <c r="H372" s="7">
        <f t="shared" si="22"/>
        <v>0</v>
      </c>
      <c r="I372" s="7"/>
      <c r="J372" s="7">
        <f t="shared" si="23"/>
        <v>0</v>
      </c>
      <c r="L372">
        <v>26666</v>
      </c>
      <c r="M372" t="b">
        <f t="shared" si="20"/>
        <v>1</v>
      </c>
    </row>
    <row r="373" spans="1:13" x14ac:dyDescent="0.3">
      <c r="A373" s="26">
        <v>58505144</v>
      </c>
      <c r="B373" s="13" t="s">
        <v>1025</v>
      </c>
      <c r="C373" s="15" t="s">
        <v>725</v>
      </c>
      <c r="D373" s="34">
        <v>30016</v>
      </c>
      <c r="F373" s="7"/>
      <c r="G373" s="7">
        <f t="shared" si="21"/>
        <v>0</v>
      </c>
      <c r="H373" s="7">
        <f t="shared" si="22"/>
        <v>0</v>
      </c>
      <c r="I373" s="7"/>
      <c r="J373" s="7">
        <f t="shared" si="23"/>
        <v>0</v>
      </c>
      <c r="L373">
        <v>30016</v>
      </c>
      <c r="M373" t="b">
        <f t="shared" si="20"/>
        <v>1</v>
      </c>
    </row>
    <row r="374" spans="1:13" x14ac:dyDescent="0.3">
      <c r="A374" s="26">
        <v>58610450</v>
      </c>
      <c r="B374" s="13" t="s">
        <v>1026</v>
      </c>
      <c r="C374" s="15" t="s">
        <v>726</v>
      </c>
      <c r="D374" s="34">
        <v>26666</v>
      </c>
      <c r="F374" s="7"/>
      <c r="G374" s="7">
        <f t="shared" si="21"/>
        <v>0</v>
      </c>
      <c r="H374" s="7">
        <f t="shared" si="22"/>
        <v>0</v>
      </c>
      <c r="I374" s="7"/>
      <c r="J374" s="7">
        <f t="shared" si="23"/>
        <v>0</v>
      </c>
      <c r="L374">
        <v>26666</v>
      </c>
      <c r="M374" t="b">
        <f t="shared" si="20"/>
        <v>1</v>
      </c>
    </row>
    <row r="375" spans="1:13" x14ac:dyDescent="0.3">
      <c r="A375" s="26">
        <v>58722261</v>
      </c>
      <c r="B375" s="27" t="s">
        <v>775</v>
      </c>
      <c r="C375" s="15" t="s">
        <v>727</v>
      </c>
      <c r="D375" s="36">
        <v>18693</v>
      </c>
      <c r="F375" s="7"/>
      <c r="G375" s="7">
        <f t="shared" si="21"/>
        <v>0</v>
      </c>
      <c r="H375" s="7">
        <f t="shared" si="22"/>
        <v>0</v>
      </c>
      <c r="I375" s="7"/>
      <c r="J375" s="7">
        <f t="shared" si="23"/>
        <v>0</v>
      </c>
      <c r="L375">
        <v>22043</v>
      </c>
      <c r="M375" t="b">
        <f t="shared" si="20"/>
        <v>0</v>
      </c>
    </row>
    <row r="376" spans="1:13" x14ac:dyDescent="0.3">
      <c r="A376" s="26">
        <v>58716097</v>
      </c>
      <c r="B376" s="27" t="s">
        <v>776</v>
      </c>
      <c r="C376" s="15" t="s">
        <v>728</v>
      </c>
      <c r="D376" s="36">
        <v>19966</v>
      </c>
      <c r="F376" s="7"/>
      <c r="G376" s="7">
        <f t="shared" si="21"/>
        <v>0</v>
      </c>
      <c r="H376" s="7">
        <f t="shared" si="22"/>
        <v>0</v>
      </c>
      <c r="I376" s="7"/>
      <c r="J376" s="7">
        <f t="shared" si="23"/>
        <v>0</v>
      </c>
      <c r="L376">
        <v>25326</v>
      </c>
      <c r="M376" t="b">
        <f t="shared" si="20"/>
        <v>0</v>
      </c>
    </row>
    <row r="377" spans="1:13" x14ac:dyDescent="0.3">
      <c r="A377" s="26">
        <v>58730204</v>
      </c>
      <c r="B377" s="27" t="s">
        <v>1027</v>
      </c>
      <c r="C377" s="15" t="s">
        <v>729</v>
      </c>
      <c r="D377" s="36">
        <v>16683</v>
      </c>
      <c r="F377" s="7"/>
      <c r="G377" s="7">
        <f t="shared" si="21"/>
        <v>0</v>
      </c>
      <c r="H377" s="7">
        <f t="shared" si="22"/>
        <v>0</v>
      </c>
      <c r="I377" s="7"/>
      <c r="J377" s="7">
        <f t="shared" si="23"/>
        <v>0</v>
      </c>
      <c r="L377">
        <v>16683</v>
      </c>
      <c r="M377" t="b">
        <f t="shared" si="20"/>
        <v>1</v>
      </c>
    </row>
    <row r="378" spans="1:13" x14ac:dyDescent="0.3">
      <c r="A378" s="14">
        <v>59058036</v>
      </c>
      <c r="B378" s="14" t="s">
        <v>730</v>
      </c>
      <c r="C378" s="15" t="s">
        <v>731</v>
      </c>
      <c r="D378" s="36">
        <v>20860</v>
      </c>
      <c r="F378" s="7"/>
      <c r="G378" s="7">
        <f t="shared" si="21"/>
        <v>0</v>
      </c>
      <c r="H378" s="7">
        <f t="shared" si="22"/>
        <v>0</v>
      </c>
      <c r="I378" s="7"/>
      <c r="J378" s="7">
        <f t="shared" si="23"/>
        <v>0</v>
      </c>
      <c r="L378">
        <v>20860</v>
      </c>
      <c r="M378" t="b">
        <f t="shared" si="20"/>
        <v>1</v>
      </c>
    </row>
    <row r="379" spans="1:13" x14ac:dyDescent="0.3">
      <c r="A379" s="14">
        <v>59056260</v>
      </c>
      <c r="B379" s="14" t="s">
        <v>777</v>
      </c>
      <c r="C379" s="15" t="s">
        <v>732</v>
      </c>
      <c r="D379" s="36">
        <v>26733</v>
      </c>
      <c r="F379" s="7"/>
      <c r="G379" s="7">
        <f t="shared" si="21"/>
        <v>0</v>
      </c>
      <c r="H379" s="7">
        <f t="shared" si="22"/>
        <v>0</v>
      </c>
      <c r="I379" s="7"/>
      <c r="J379" s="7">
        <f t="shared" si="23"/>
        <v>0</v>
      </c>
      <c r="L379">
        <v>26733</v>
      </c>
      <c r="M379" t="b">
        <f t="shared" si="20"/>
        <v>1</v>
      </c>
    </row>
    <row r="380" spans="1:13" x14ac:dyDescent="0.3">
      <c r="A380" s="14">
        <v>59082806</v>
      </c>
      <c r="B380" s="15" t="s">
        <v>347</v>
      </c>
      <c r="C380" s="15" t="s">
        <v>670</v>
      </c>
      <c r="D380" s="34">
        <v>21714</v>
      </c>
      <c r="F380" s="7"/>
      <c r="G380" s="7">
        <f t="shared" si="21"/>
        <v>0</v>
      </c>
      <c r="H380" s="7">
        <f t="shared" si="22"/>
        <v>0</v>
      </c>
      <c r="I380" s="7"/>
      <c r="J380" s="7">
        <f t="shared" si="23"/>
        <v>0</v>
      </c>
      <c r="L380">
        <v>21714</v>
      </c>
      <c r="M380" t="b">
        <f t="shared" si="20"/>
        <v>1</v>
      </c>
    </row>
    <row r="381" spans="1:13" x14ac:dyDescent="0.3">
      <c r="A381" s="14">
        <v>58987730</v>
      </c>
      <c r="B381" s="28" t="s">
        <v>733</v>
      </c>
      <c r="C381" s="15" t="s">
        <v>734</v>
      </c>
      <c r="D381" s="34">
        <v>26334</v>
      </c>
      <c r="F381" s="7"/>
      <c r="G381" s="7">
        <f t="shared" si="21"/>
        <v>0</v>
      </c>
      <c r="H381" s="7">
        <f t="shared" si="22"/>
        <v>0</v>
      </c>
      <c r="I381" s="7"/>
      <c r="J381" s="7">
        <f t="shared" si="23"/>
        <v>0</v>
      </c>
      <c r="L381">
        <v>26334</v>
      </c>
      <c r="M381" t="b">
        <f t="shared" si="20"/>
        <v>1</v>
      </c>
    </row>
    <row r="382" spans="1:13" x14ac:dyDescent="0.3">
      <c r="A382" s="14">
        <v>59070986</v>
      </c>
      <c r="B382" s="14" t="s">
        <v>1028</v>
      </c>
      <c r="C382" s="15" t="s">
        <v>735</v>
      </c>
      <c r="D382" s="34">
        <v>119930</v>
      </c>
      <c r="F382" s="7"/>
      <c r="G382" s="7">
        <f t="shared" si="21"/>
        <v>0</v>
      </c>
      <c r="H382" s="7">
        <f t="shared" si="22"/>
        <v>0</v>
      </c>
      <c r="I382" s="7"/>
      <c r="J382" s="7">
        <f t="shared" si="23"/>
        <v>0</v>
      </c>
      <c r="L382">
        <v>119930</v>
      </c>
      <c r="M382" t="b">
        <f t="shared" si="20"/>
        <v>1</v>
      </c>
    </row>
    <row r="383" spans="1:13" x14ac:dyDescent="0.3">
      <c r="A383" s="14">
        <v>59199875</v>
      </c>
      <c r="B383" s="14" t="s">
        <v>778</v>
      </c>
      <c r="C383" s="15" t="s">
        <v>736</v>
      </c>
      <c r="D383" s="34">
        <v>26666</v>
      </c>
      <c r="F383" s="7"/>
      <c r="G383" s="7">
        <f t="shared" si="21"/>
        <v>0</v>
      </c>
      <c r="H383" s="7">
        <f t="shared" si="22"/>
        <v>0</v>
      </c>
      <c r="I383" s="7"/>
      <c r="J383" s="7">
        <f t="shared" si="23"/>
        <v>0</v>
      </c>
      <c r="L383">
        <v>26666</v>
      </c>
      <c r="M383" t="b">
        <f t="shared" si="20"/>
        <v>1</v>
      </c>
    </row>
    <row r="384" spans="1:13" x14ac:dyDescent="0.3">
      <c r="A384" s="14">
        <v>59759466</v>
      </c>
      <c r="B384" s="14" t="s">
        <v>779</v>
      </c>
      <c r="C384" s="15" t="s">
        <v>737</v>
      </c>
      <c r="D384" s="34">
        <v>112560</v>
      </c>
      <c r="F384" s="7"/>
      <c r="G384" s="7">
        <f t="shared" si="21"/>
        <v>0</v>
      </c>
      <c r="H384" s="7">
        <f t="shared" si="22"/>
        <v>0</v>
      </c>
      <c r="I384" s="7"/>
      <c r="J384" s="7">
        <f t="shared" si="23"/>
        <v>0</v>
      </c>
      <c r="L384">
        <v>112560</v>
      </c>
      <c r="M384" t="b">
        <f t="shared" ref="M384:M447" si="24">D384=L384</f>
        <v>1</v>
      </c>
    </row>
    <row r="385" spans="1:13" x14ac:dyDescent="0.3">
      <c r="A385" s="14">
        <v>59332927</v>
      </c>
      <c r="B385" s="14" t="s">
        <v>780</v>
      </c>
      <c r="C385" s="15" t="s">
        <v>738</v>
      </c>
      <c r="D385" s="34">
        <v>22043</v>
      </c>
      <c r="F385" s="7"/>
      <c r="G385" s="7">
        <f t="shared" si="21"/>
        <v>0</v>
      </c>
      <c r="H385" s="7">
        <f t="shared" si="22"/>
        <v>0</v>
      </c>
      <c r="I385" s="7"/>
      <c r="J385" s="7">
        <f t="shared" si="23"/>
        <v>0</v>
      </c>
      <c r="L385">
        <v>22043</v>
      </c>
      <c r="M385" t="b">
        <f t="shared" si="24"/>
        <v>1</v>
      </c>
    </row>
    <row r="386" spans="1:13" x14ac:dyDescent="0.3">
      <c r="A386" s="14">
        <v>59836396</v>
      </c>
      <c r="B386" s="14" t="s">
        <v>781</v>
      </c>
      <c r="C386" s="15" t="s">
        <v>739</v>
      </c>
      <c r="D386" s="34">
        <v>26666</v>
      </c>
      <c r="F386" s="7"/>
      <c r="G386" s="7">
        <f t="shared" ref="G386:G449" si="25">IFERROR(VLOOKUP($F386,$A:$B,2,0),0)</f>
        <v>0</v>
      </c>
      <c r="H386" s="7">
        <f t="shared" ref="H386:H449" si="26">IFERROR(VLOOKUP($F386,$A:$D,3,0),0)</f>
        <v>0</v>
      </c>
      <c r="I386" s="7"/>
      <c r="J386" s="7">
        <f t="shared" ref="J386:J449" si="27">IFERROR(VLOOKUP($F386,$A:$D,4,0),0)</f>
        <v>0</v>
      </c>
      <c r="L386">
        <v>26666</v>
      </c>
      <c r="M386" t="b">
        <f t="shared" si="24"/>
        <v>1</v>
      </c>
    </row>
    <row r="387" spans="1:13" x14ac:dyDescent="0.3">
      <c r="A387" s="14">
        <v>59924956</v>
      </c>
      <c r="B387" s="14" t="s">
        <v>782</v>
      </c>
      <c r="C387" s="15" t="s">
        <v>741</v>
      </c>
      <c r="D387" s="34">
        <v>23316</v>
      </c>
      <c r="F387" s="7"/>
      <c r="G387" s="7">
        <f t="shared" si="25"/>
        <v>0</v>
      </c>
      <c r="H387" s="7">
        <f t="shared" si="26"/>
        <v>0</v>
      </c>
      <c r="I387" s="7"/>
      <c r="J387" s="7">
        <f t="shared" si="27"/>
        <v>0</v>
      </c>
      <c r="L387">
        <v>23316</v>
      </c>
      <c r="M387" t="b">
        <f t="shared" si="24"/>
        <v>1</v>
      </c>
    </row>
    <row r="388" spans="1:13" x14ac:dyDescent="0.3">
      <c r="A388" s="14">
        <v>59927382</v>
      </c>
      <c r="B388" s="14" t="s">
        <v>783</v>
      </c>
      <c r="C388" s="15" t="s">
        <v>740</v>
      </c>
      <c r="D388" s="34">
        <v>23316</v>
      </c>
      <c r="F388" s="7"/>
      <c r="G388" s="7">
        <f t="shared" si="25"/>
        <v>0</v>
      </c>
      <c r="H388" s="7">
        <f t="shared" si="26"/>
        <v>0</v>
      </c>
      <c r="I388" s="7"/>
      <c r="J388" s="7">
        <f t="shared" si="27"/>
        <v>0</v>
      </c>
      <c r="L388">
        <v>23316</v>
      </c>
      <c r="M388" t="b">
        <f t="shared" si="24"/>
        <v>1</v>
      </c>
    </row>
    <row r="389" spans="1:13" x14ac:dyDescent="0.3">
      <c r="A389" s="14">
        <v>59932138</v>
      </c>
      <c r="B389" s="14" t="s">
        <v>784</v>
      </c>
      <c r="C389" s="15" t="s">
        <v>742</v>
      </c>
      <c r="D389" s="34">
        <v>24723</v>
      </c>
      <c r="F389" s="7"/>
      <c r="G389" s="7">
        <f t="shared" si="25"/>
        <v>0</v>
      </c>
      <c r="H389" s="7">
        <f t="shared" si="26"/>
        <v>0</v>
      </c>
      <c r="I389" s="7"/>
      <c r="J389" s="7">
        <f t="shared" si="27"/>
        <v>0</v>
      </c>
      <c r="L389">
        <v>24723</v>
      </c>
      <c r="M389" t="b">
        <f t="shared" si="24"/>
        <v>1</v>
      </c>
    </row>
    <row r="390" spans="1:13" x14ac:dyDescent="0.3">
      <c r="A390" s="14">
        <v>59944694</v>
      </c>
      <c r="B390" s="14" t="s">
        <v>785</v>
      </c>
      <c r="C390" s="15" t="s">
        <v>745</v>
      </c>
      <c r="D390" s="34">
        <v>28743</v>
      </c>
      <c r="F390" s="7"/>
      <c r="G390" s="7">
        <f t="shared" si="25"/>
        <v>0</v>
      </c>
      <c r="H390" s="7">
        <f t="shared" si="26"/>
        <v>0</v>
      </c>
      <c r="I390" s="7"/>
      <c r="J390" s="7">
        <f t="shared" si="27"/>
        <v>0</v>
      </c>
      <c r="L390">
        <v>28743</v>
      </c>
      <c r="M390" t="b">
        <f t="shared" si="24"/>
        <v>1</v>
      </c>
    </row>
    <row r="391" spans="1:13" x14ac:dyDescent="0.3">
      <c r="A391" s="14">
        <v>60019261</v>
      </c>
      <c r="B391" s="14" t="s">
        <v>786</v>
      </c>
      <c r="C391" s="15" t="s">
        <v>746</v>
      </c>
      <c r="D391" s="34">
        <v>92460</v>
      </c>
      <c r="F391" s="7"/>
      <c r="G391" s="7">
        <f t="shared" si="25"/>
        <v>0</v>
      </c>
      <c r="H391" s="7">
        <f t="shared" si="26"/>
        <v>0</v>
      </c>
      <c r="I391" s="7"/>
      <c r="J391" s="7">
        <f t="shared" si="27"/>
        <v>0</v>
      </c>
      <c r="L391">
        <v>92460</v>
      </c>
      <c r="M391" t="b">
        <f t="shared" si="24"/>
        <v>1</v>
      </c>
    </row>
    <row r="392" spans="1:13" x14ac:dyDescent="0.3">
      <c r="A392" s="14">
        <v>60015061</v>
      </c>
      <c r="B392" s="14" t="s">
        <v>787</v>
      </c>
      <c r="C392" s="15" t="s">
        <v>747</v>
      </c>
      <c r="D392" s="34">
        <v>11926</v>
      </c>
      <c r="F392" s="7"/>
      <c r="G392" s="7">
        <f t="shared" si="25"/>
        <v>0</v>
      </c>
      <c r="H392" s="7">
        <f t="shared" si="26"/>
        <v>0</v>
      </c>
      <c r="I392" s="7"/>
      <c r="J392" s="7">
        <f t="shared" si="27"/>
        <v>0</v>
      </c>
      <c r="L392">
        <v>11926</v>
      </c>
      <c r="M392" t="b">
        <f t="shared" si="24"/>
        <v>1</v>
      </c>
    </row>
    <row r="393" spans="1:13" x14ac:dyDescent="0.3">
      <c r="A393" s="14">
        <v>60023938</v>
      </c>
      <c r="B393" s="14" t="s">
        <v>788</v>
      </c>
      <c r="C393" s="15" t="s">
        <v>748</v>
      </c>
      <c r="D393" s="34">
        <v>18626</v>
      </c>
      <c r="F393" s="7"/>
      <c r="G393" s="7">
        <f t="shared" si="25"/>
        <v>0</v>
      </c>
      <c r="H393" s="7">
        <f t="shared" si="26"/>
        <v>0</v>
      </c>
      <c r="I393" s="7"/>
      <c r="J393" s="7">
        <f t="shared" si="27"/>
        <v>0</v>
      </c>
      <c r="L393">
        <v>18626</v>
      </c>
      <c r="M393" t="b">
        <f t="shared" si="24"/>
        <v>1</v>
      </c>
    </row>
    <row r="394" spans="1:13" x14ac:dyDescent="0.3">
      <c r="A394" s="14">
        <v>60025950</v>
      </c>
      <c r="B394" s="14" t="s">
        <v>789</v>
      </c>
      <c r="C394" s="15" t="s">
        <v>749</v>
      </c>
      <c r="D394" s="34">
        <v>43416</v>
      </c>
      <c r="F394" s="7"/>
      <c r="G394" s="7">
        <f t="shared" si="25"/>
        <v>0</v>
      </c>
      <c r="H394" s="7">
        <f t="shared" si="26"/>
        <v>0</v>
      </c>
      <c r="I394" s="7"/>
      <c r="J394" s="7">
        <f t="shared" si="27"/>
        <v>0</v>
      </c>
      <c r="L394">
        <v>43416</v>
      </c>
      <c r="M394" t="b">
        <f t="shared" si="24"/>
        <v>1</v>
      </c>
    </row>
    <row r="395" spans="1:13" x14ac:dyDescent="0.3">
      <c r="A395" s="14">
        <v>60024864</v>
      </c>
      <c r="B395" s="14" t="s">
        <v>790</v>
      </c>
      <c r="C395" s="15" t="s">
        <v>750</v>
      </c>
      <c r="D395" s="34">
        <v>18626</v>
      </c>
      <c r="F395" s="7"/>
      <c r="G395" s="7">
        <f t="shared" si="25"/>
        <v>0</v>
      </c>
      <c r="H395" s="7">
        <f t="shared" si="26"/>
        <v>0</v>
      </c>
      <c r="I395" s="7"/>
      <c r="J395" s="7">
        <f t="shared" si="27"/>
        <v>0</v>
      </c>
      <c r="L395">
        <v>18626</v>
      </c>
      <c r="M395" t="b">
        <f t="shared" si="24"/>
        <v>1</v>
      </c>
    </row>
    <row r="396" spans="1:13" x14ac:dyDescent="0.3">
      <c r="A396" s="14">
        <v>60084208</v>
      </c>
      <c r="B396" s="14" t="s">
        <v>791</v>
      </c>
      <c r="C396" s="15" t="s">
        <v>751</v>
      </c>
      <c r="D396" s="34">
        <v>86430</v>
      </c>
      <c r="F396" s="7"/>
      <c r="G396" s="7">
        <f t="shared" si="25"/>
        <v>0</v>
      </c>
      <c r="H396" s="7">
        <f t="shared" si="26"/>
        <v>0</v>
      </c>
      <c r="I396" s="7"/>
      <c r="J396" s="7">
        <f t="shared" si="27"/>
        <v>0</v>
      </c>
      <c r="L396">
        <v>98490</v>
      </c>
      <c r="M396" t="b">
        <f t="shared" si="24"/>
        <v>0</v>
      </c>
    </row>
    <row r="397" spans="1:13" x14ac:dyDescent="0.3">
      <c r="A397" s="14">
        <v>60085614</v>
      </c>
      <c r="B397" s="14" t="s">
        <v>792</v>
      </c>
      <c r="C397" s="15" t="s">
        <v>752</v>
      </c>
      <c r="D397" s="34">
        <v>26733</v>
      </c>
      <c r="F397" s="7"/>
      <c r="G397" s="7">
        <f t="shared" si="25"/>
        <v>0</v>
      </c>
      <c r="H397" s="7">
        <f t="shared" si="26"/>
        <v>0</v>
      </c>
      <c r="I397" s="7"/>
      <c r="J397" s="7">
        <f t="shared" si="27"/>
        <v>0</v>
      </c>
      <c r="L397">
        <v>26733</v>
      </c>
      <c r="M397" t="b">
        <f t="shared" si="24"/>
        <v>1</v>
      </c>
    </row>
    <row r="398" spans="1:13" x14ac:dyDescent="0.3">
      <c r="A398" s="14">
        <v>60133592</v>
      </c>
      <c r="B398" s="14" t="s">
        <v>793</v>
      </c>
      <c r="C398" s="15" t="s">
        <v>753</v>
      </c>
      <c r="D398" s="34">
        <v>46766</v>
      </c>
      <c r="F398" s="7"/>
      <c r="G398" s="7">
        <f t="shared" si="25"/>
        <v>0</v>
      </c>
      <c r="H398" s="7">
        <f t="shared" si="26"/>
        <v>0</v>
      </c>
      <c r="I398" s="7"/>
      <c r="J398" s="7">
        <f t="shared" si="27"/>
        <v>0</v>
      </c>
      <c r="L398">
        <v>46766</v>
      </c>
      <c r="M398" t="b">
        <f t="shared" si="24"/>
        <v>1</v>
      </c>
    </row>
    <row r="399" spans="1:13" x14ac:dyDescent="0.3">
      <c r="A399" s="14">
        <v>60450424</v>
      </c>
      <c r="B399" s="14" t="s">
        <v>794</v>
      </c>
      <c r="C399" s="15" t="s">
        <v>755</v>
      </c>
      <c r="D399" s="34">
        <v>14129</v>
      </c>
      <c r="F399" s="7"/>
      <c r="G399" s="7">
        <f t="shared" si="25"/>
        <v>0</v>
      </c>
      <c r="H399" s="7">
        <f t="shared" si="26"/>
        <v>0</v>
      </c>
      <c r="I399" s="7"/>
      <c r="J399" s="7">
        <f t="shared" si="27"/>
        <v>0</v>
      </c>
      <c r="L399">
        <v>14129</v>
      </c>
      <c r="M399" t="b">
        <f t="shared" si="24"/>
        <v>1</v>
      </c>
    </row>
    <row r="400" spans="1:13" x14ac:dyDescent="0.3">
      <c r="A400" s="14">
        <v>60380162</v>
      </c>
      <c r="B400" s="14" t="s">
        <v>795</v>
      </c>
      <c r="C400" s="15" t="s">
        <v>756</v>
      </c>
      <c r="D400" s="34">
        <v>14129</v>
      </c>
      <c r="F400" s="7"/>
      <c r="G400" s="7">
        <f t="shared" si="25"/>
        <v>0</v>
      </c>
      <c r="H400" s="7">
        <f t="shared" si="26"/>
        <v>0</v>
      </c>
      <c r="I400" s="7"/>
      <c r="J400" s="7">
        <f t="shared" si="27"/>
        <v>0</v>
      </c>
      <c r="L400">
        <v>14129</v>
      </c>
      <c r="M400" t="b">
        <f t="shared" si="24"/>
        <v>1</v>
      </c>
    </row>
    <row r="401" spans="1:13" x14ac:dyDescent="0.3">
      <c r="A401" s="14">
        <v>60541542</v>
      </c>
      <c r="B401" s="14" t="s">
        <v>796</v>
      </c>
      <c r="C401" s="15" t="s">
        <v>757</v>
      </c>
      <c r="D401" s="34">
        <v>66330</v>
      </c>
      <c r="F401" s="7"/>
      <c r="G401" s="7">
        <f t="shared" si="25"/>
        <v>0</v>
      </c>
      <c r="H401" s="7">
        <f t="shared" si="26"/>
        <v>0</v>
      </c>
      <c r="I401" s="7"/>
      <c r="J401" s="7">
        <f t="shared" si="27"/>
        <v>0</v>
      </c>
      <c r="L401">
        <v>66330</v>
      </c>
      <c r="M401" t="b">
        <f t="shared" si="24"/>
        <v>1</v>
      </c>
    </row>
    <row r="402" spans="1:13" x14ac:dyDescent="0.3">
      <c r="A402" s="14">
        <v>60541171</v>
      </c>
      <c r="B402" s="14" t="s">
        <v>797</v>
      </c>
      <c r="C402" s="15" t="s">
        <v>758</v>
      </c>
      <c r="D402" s="34">
        <v>66330</v>
      </c>
      <c r="F402" s="7"/>
      <c r="G402" s="7">
        <f t="shared" si="25"/>
        <v>0</v>
      </c>
      <c r="H402" s="7">
        <f t="shared" si="26"/>
        <v>0</v>
      </c>
      <c r="I402" s="7"/>
      <c r="J402" s="7">
        <f t="shared" si="27"/>
        <v>0</v>
      </c>
      <c r="L402">
        <v>66330</v>
      </c>
      <c r="M402" t="b">
        <f t="shared" si="24"/>
        <v>1</v>
      </c>
    </row>
    <row r="403" spans="1:13" x14ac:dyDescent="0.3">
      <c r="A403" s="14">
        <v>60543356</v>
      </c>
      <c r="B403" s="14" t="s">
        <v>798</v>
      </c>
      <c r="C403" s="15" t="s">
        <v>759</v>
      </c>
      <c r="D403" s="34">
        <v>200330</v>
      </c>
      <c r="F403" s="7"/>
      <c r="G403" s="7">
        <f t="shared" si="25"/>
        <v>0</v>
      </c>
      <c r="H403" s="7">
        <f t="shared" si="26"/>
        <v>0</v>
      </c>
      <c r="I403" s="7"/>
      <c r="J403" s="7">
        <f t="shared" si="27"/>
        <v>0</v>
      </c>
      <c r="L403">
        <v>200330</v>
      </c>
      <c r="M403" t="b">
        <f t="shared" si="24"/>
        <v>1</v>
      </c>
    </row>
    <row r="404" spans="1:13" x14ac:dyDescent="0.3">
      <c r="A404" s="14">
        <v>60530655</v>
      </c>
      <c r="B404" s="14" t="s">
        <v>799</v>
      </c>
      <c r="C404" s="15" t="s">
        <v>760</v>
      </c>
      <c r="D404" s="34">
        <v>246560</v>
      </c>
      <c r="F404" s="7"/>
      <c r="G404" s="7">
        <f t="shared" si="25"/>
        <v>0</v>
      </c>
      <c r="H404" s="7">
        <f t="shared" si="26"/>
        <v>0</v>
      </c>
      <c r="I404" s="7"/>
      <c r="J404" s="7">
        <f t="shared" si="27"/>
        <v>0</v>
      </c>
      <c r="L404">
        <v>246560</v>
      </c>
      <c r="M404" t="b">
        <f t="shared" si="24"/>
        <v>1</v>
      </c>
    </row>
    <row r="405" spans="1:13" x14ac:dyDescent="0.3">
      <c r="A405" s="14">
        <v>60615380</v>
      </c>
      <c r="B405" s="14" t="s">
        <v>754</v>
      </c>
      <c r="C405" s="15" t="s">
        <v>761</v>
      </c>
      <c r="D405" s="34">
        <v>79060</v>
      </c>
      <c r="F405" s="7"/>
      <c r="G405" s="7">
        <f t="shared" si="25"/>
        <v>0</v>
      </c>
      <c r="H405" s="7">
        <f t="shared" si="26"/>
        <v>0</v>
      </c>
      <c r="I405" s="7"/>
      <c r="J405" s="7">
        <f t="shared" si="27"/>
        <v>0</v>
      </c>
      <c r="L405">
        <v>79060</v>
      </c>
      <c r="M405" t="b">
        <f t="shared" si="24"/>
        <v>1</v>
      </c>
    </row>
    <row r="406" spans="1:13" x14ac:dyDescent="0.3">
      <c r="A406" s="14">
        <v>60725132</v>
      </c>
      <c r="B406" s="14" t="s">
        <v>800</v>
      </c>
      <c r="C406" s="15" t="s">
        <v>762</v>
      </c>
      <c r="D406" s="34">
        <v>12663</v>
      </c>
      <c r="F406" s="7"/>
      <c r="G406" s="7">
        <f t="shared" si="25"/>
        <v>0</v>
      </c>
      <c r="H406" s="7">
        <f t="shared" si="26"/>
        <v>0</v>
      </c>
      <c r="I406" s="7"/>
      <c r="J406" s="7">
        <f t="shared" si="27"/>
        <v>0</v>
      </c>
      <c r="L406">
        <v>12663</v>
      </c>
      <c r="M406" t="b">
        <f t="shared" si="24"/>
        <v>1</v>
      </c>
    </row>
    <row r="407" spans="1:13" x14ac:dyDescent="0.3">
      <c r="A407" s="14">
        <v>60542212</v>
      </c>
      <c r="B407" s="14" t="s">
        <v>801</v>
      </c>
      <c r="C407" s="15" t="s">
        <v>763</v>
      </c>
      <c r="D407" s="34">
        <v>19966</v>
      </c>
      <c r="F407" s="7"/>
      <c r="G407" s="7">
        <f t="shared" si="25"/>
        <v>0</v>
      </c>
      <c r="H407" s="7">
        <f t="shared" si="26"/>
        <v>0</v>
      </c>
      <c r="I407" s="7"/>
      <c r="J407" s="7">
        <f t="shared" si="27"/>
        <v>0</v>
      </c>
      <c r="L407">
        <v>19966</v>
      </c>
      <c r="M407" t="b">
        <f t="shared" si="24"/>
        <v>1</v>
      </c>
    </row>
    <row r="408" spans="1:13" x14ac:dyDescent="0.3">
      <c r="A408" s="14">
        <v>61089339</v>
      </c>
      <c r="B408" s="14" t="s">
        <v>802</v>
      </c>
      <c r="C408" s="15" t="s">
        <v>764</v>
      </c>
      <c r="D408" s="34">
        <v>32830</v>
      </c>
      <c r="F408" s="7"/>
      <c r="G408" s="7">
        <f t="shared" si="25"/>
        <v>0</v>
      </c>
      <c r="H408" s="7">
        <f t="shared" si="26"/>
        <v>0</v>
      </c>
      <c r="I408" s="7"/>
      <c r="J408" s="7">
        <f t="shared" si="27"/>
        <v>0</v>
      </c>
      <c r="L408">
        <v>32830</v>
      </c>
      <c r="M408" t="b">
        <f t="shared" si="24"/>
        <v>1</v>
      </c>
    </row>
    <row r="409" spans="1:13" x14ac:dyDescent="0.3">
      <c r="A409" s="14">
        <v>61044622</v>
      </c>
      <c r="B409" s="14" t="s">
        <v>803</v>
      </c>
      <c r="C409" s="15" t="s">
        <v>765</v>
      </c>
      <c r="D409" s="34">
        <v>12935</v>
      </c>
      <c r="F409" s="7"/>
      <c r="G409" s="7">
        <f t="shared" si="25"/>
        <v>0</v>
      </c>
      <c r="H409" s="7">
        <f t="shared" si="26"/>
        <v>0</v>
      </c>
      <c r="I409" s="7"/>
      <c r="J409" s="7">
        <f t="shared" si="27"/>
        <v>0</v>
      </c>
      <c r="L409">
        <v>12935</v>
      </c>
      <c r="M409" t="b">
        <f t="shared" si="24"/>
        <v>1</v>
      </c>
    </row>
    <row r="410" spans="1:13" x14ac:dyDescent="0.3">
      <c r="A410" s="14">
        <v>61199642</v>
      </c>
      <c r="B410" s="14" t="s">
        <v>804</v>
      </c>
      <c r="C410" s="15" t="s">
        <v>766</v>
      </c>
      <c r="D410" s="34">
        <v>58960</v>
      </c>
      <c r="F410" s="7"/>
      <c r="G410" s="7">
        <f t="shared" si="25"/>
        <v>0</v>
      </c>
      <c r="H410" s="7">
        <f t="shared" si="26"/>
        <v>0</v>
      </c>
      <c r="I410" s="7"/>
      <c r="J410" s="7">
        <f t="shared" si="27"/>
        <v>0</v>
      </c>
      <c r="L410">
        <v>66330</v>
      </c>
      <c r="M410" t="b">
        <f t="shared" si="24"/>
        <v>0</v>
      </c>
    </row>
    <row r="411" spans="1:13" x14ac:dyDescent="0.3">
      <c r="A411" s="14">
        <v>61766007</v>
      </c>
      <c r="B411" s="14" t="s">
        <v>805</v>
      </c>
      <c r="C411" s="15" t="s">
        <v>767</v>
      </c>
      <c r="D411" s="34">
        <v>59630</v>
      </c>
      <c r="F411" s="7"/>
      <c r="G411" s="7">
        <f t="shared" si="25"/>
        <v>0</v>
      </c>
      <c r="H411" s="7">
        <f t="shared" si="26"/>
        <v>0</v>
      </c>
      <c r="I411" s="7"/>
      <c r="J411" s="7">
        <f t="shared" si="27"/>
        <v>0</v>
      </c>
      <c r="L411">
        <v>59630</v>
      </c>
      <c r="M411" t="b">
        <f t="shared" si="24"/>
        <v>1</v>
      </c>
    </row>
    <row r="412" spans="1:13" x14ac:dyDescent="0.3">
      <c r="A412" s="14">
        <v>61760291</v>
      </c>
      <c r="B412" s="14" t="s">
        <v>806</v>
      </c>
      <c r="C412" s="15" t="s">
        <v>768</v>
      </c>
      <c r="D412" s="34">
        <v>66330</v>
      </c>
      <c r="F412" s="7"/>
      <c r="G412" s="7">
        <f t="shared" si="25"/>
        <v>0</v>
      </c>
      <c r="H412" s="7">
        <f t="shared" si="26"/>
        <v>0</v>
      </c>
      <c r="I412" s="7"/>
      <c r="J412" s="7">
        <f t="shared" si="27"/>
        <v>0</v>
      </c>
      <c r="L412">
        <v>66330</v>
      </c>
      <c r="M412" t="b">
        <f t="shared" si="24"/>
        <v>1</v>
      </c>
    </row>
    <row r="413" spans="1:13" x14ac:dyDescent="0.3">
      <c r="A413" s="14">
        <v>61760141</v>
      </c>
      <c r="B413" s="14" t="s">
        <v>807</v>
      </c>
      <c r="C413" s="15" t="s">
        <v>814</v>
      </c>
      <c r="D413" s="34">
        <v>30016</v>
      </c>
      <c r="F413" s="7"/>
      <c r="G413" s="7">
        <f t="shared" si="25"/>
        <v>0</v>
      </c>
      <c r="H413" s="7">
        <f t="shared" si="26"/>
        <v>0</v>
      </c>
      <c r="I413" s="7"/>
      <c r="J413" s="7">
        <f t="shared" si="27"/>
        <v>0</v>
      </c>
      <c r="L413">
        <v>30016</v>
      </c>
      <c r="M413" t="b">
        <f t="shared" si="24"/>
        <v>1</v>
      </c>
    </row>
    <row r="414" spans="1:13" x14ac:dyDescent="0.3">
      <c r="A414" s="14">
        <v>61929592</v>
      </c>
      <c r="B414" s="14" t="s">
        <v>808</v>
      </c>
      <c r="C414" s="15" t="s">
        <v>769</v>
      </c>
      <c r="D414" s="34">
        <v>36783</v>
      </c>
      <c r="F414" s="7"/>
      <c r="G414" s="7">
        <f t="shared" si="25"/>
        <v>0</v>
      </c>
      <c r="H414" s="7">
        <f t="shared" si="26"/>
        <v>0</v>
      </c>
      <c r="I414" s="7"/>
      <c r="J414" s="7">
        <f t="shared" si="27"/>
        <v>0</v>
      </c>
      <c r="L414">
        <v>36783</v>
      </c>
      <c r="M414" t="b">
        <f t="shared" si="24"/>
        <v>1</v>
      </c>
    </row>
    <row r="415" spans="1:13" x14ac:dyDescent="0.3">
      <c r="A415" s="14">
        <v>61929727</v>
      </c>
      <c r="B415" s="14" t="s">
        <v>809</v>
      </c>
      <c r="C415" s="15" t="s">
        <v>770</v>
      </c>
      <c r="D415" s="34">
        <v>30083</v>
      </c>
      <c r="F415" s="7"/>
      <c r="G415" s="7">
        <f t="shared" si="25"/>
        <v>0</v>
      </c>
      <c r="H415" s="7">
        <f t="shared" si="26"/>
        <v>0</v>
      </c>
      <c r="I415" s="7"/>
      <c r="J415" s="7">
        <f t="shared" si="27"/>
        <v>0</v>
      </c>
      <c r="L415">
        <v>30083</v>
      </c>
      <c r="M415" t="b">
        <f t="shared" si="24"/>
        <v>1</v>
      </c>
    </row>
    <row r="416" spans="1:13" x14ac:dyDescent="0.3">
      <c r="A416" s="14">
        <v>61929494</v>
      </c>
      <c r="B416" s="14" t="s">
        <v>810</v>
      </c>
      <c r="C416" s="15" t="s">
        <v>771</v>
      </c>
      <c r="D416" s="34">
        <v>85760</v>
      </c>
      <c r="F416" s="7"/>
      <c r="G416" s="7">
        <f t="shared" si="25"/>
        <v>0</v>
      </c>
      <c r="H416" s="7">
        <f t="shared" si="26"/>
        <v>0</v>
      </c>
      <c r="I416" s="7"/>
      <c r="J416" s="7">
        <f t="shared" si="27"/>
        <v>0</v>
      </c>
      <c r="L416">
        <v>85760</v>
      </c>
      <c r="M416" t="b">
        <f t="shared" si="24"/>
        <v>1</v>
      </c>
    </row>
    <row r="417" spans="1:13" x14ac:dyDescent="0.3">
      <c r="A417" s="14">
        <v>61929493</v>
      </c>
      <c r="B417" s="14" t="s">
        <v>811</v>
      </c>
      <c r="C417" s="15" t="s">
        <v>772</v>
      </c>
      <c r="D417" s="34">
        <v>85760</v>
      </c>
      <c r="F417" s="7"/>
      <c r="G417" s="7">
        <f t="shared" si="25"/>
        <v>0</v>
      </c>
      <c r="H417" s="7">
        <f t="shared" si="26"/>
        <v>0</v>
      </c>
      <c r="I417" s="7"/>
      <c r="J417" s="7">
        <f t="shared" si="27"/>
        <v>0</v>
      </c>
      <c r="L417">
        <v>85760</v>
      </c>
      <c r="M417" t="b">
        <f t="shared" si="24"/>
        <v>1</v>
      </c>
    </row>
    <row r="418" spans="1:13" x14ac:dyDescent="0.3">
      <c r="A418" s="14">
        <v>61879892</v>
      </c>
      <c r="B418" s="14" t="s">
        <v>812</v>
      </c>
      <c r="C418" s="15" t="s">
        <v>773</v>
      </c>
      <c r="D418" s="34">
        <v>4556</v>
      </c>
      <c r="F418" s="7"/>
      <c r="G418" s="7">
        <f t="shared" si="25"/>
        <v>0</v>
      </c>
      <c r="H418" s="7">
        <f t="shared" si="26"/>
        <v>0</v>
      </c>
      <c r="I418" s="7"/>
      <c r="J418" s="7">
        <f t="shared" si="27"/>
        <v>0</v>
      </c>
      <c r="L418">
        <v>4556</v>
      </c>
      <c r="M418" t="b">
        <f t="shared" si="24"/>
        <v>1</v>
      </c>
    </row>
    <row r="419" spans="1:13" x14ac:dyDescent="0.3">
      <c r="A419" s="14">
        <v>61923953</v>
      </c>
      <c r="B419" s="14" t="s">
        <v>813</v>
      </c>
      <c r="C419" s="15" t="s">
        <v>774</v>
      </c>
      <c r="D419" s="34">
        <v>50430</v>
      </c>
      <c r="F419" s="7"/>
      <c r="G419" s="7">
        <f t="shared" si="25"/>
        <v>0</v>
      </c>
      <c r="H419" s="7">
        <f t="shared" si="26"/>
        <v>0</v>
      </c>
      <c r="I419" s="7"/>
      <c r="J419" s="7">
        <f t="shared" si="27"/>
        <v>0</v>
      </c>
      <c r="L419">
        <v>50430</v>
      </c>
      <c r="M419" t="b">
        <f t="shared" si="24"/>
        <v>1</v>
      </c>
    </row>
    <row r="420" spans="1:13" x14ac:dyDescent="0.3">
      <c r="A420" s="14">
        <v>62377903</v>
      </c>
      <c r="B420" s="14" t="s">
        <v>925</v>
      </c>
      <c r="C420" s="15" t="s">
        <v>820</v>
      </c>
      <c r="D420" s="34">
        <v>19966</v>
      </c>
      <c r="F420" s="7"/>
      <c r="G420" s="7">
        <f t="shared" si="25"/>
        <v>0</v>
      </c>
      <c r="H420" s="7">
        <f t="shared" si="26"/>
        <v>0</v>
      </c>
      <c r="I420" s="7"/>
      <c r="J420" s="7">
        <f t="shared" si="27"/>
        <v>0</v>
      </c>
      <c r="L420">
        <v>19966</v>
      </c>
      <c r="M420" t="b">
        <f t="shared" si="24"/>
        <v>1</v>
      </c>
    </row>
    <row r="421" spans="1:13" x14ac:dyDescent="0.3">
      <c r="A421" s="14">
        <v>62378988</v>
      </c>
      <c r="B421" s="14" t="s">
        <v>817</v>
      </c>
      <c r="C421" s="15" t="s">
        <v>821</v>
      </c>
      <c r="D421" s="34">
        <v>26733</v>
      </c>
      <c r="F421" s="7"/>
      <c r="G421" s="7">
        <f t="shared" si="25"/>
        <v>0</v>
      </c>
      <c r="H421" s="7">
        <f t="shared" si="26"/>
        <v>0</v>
      </c>
      <c r="I421" s="7"/>
      <c r="J421" s="7">
        <f t="shared" si="27"/>
        <v>0</v>
      </c>
      <c r="L421">
        <v>26733</v>
      </c>
      <c r="M421" t="b">
        <f t="shared" si="24"/>
        <v>1</v>
      </c>
    </row>
    <row r="422" spans="1:13" x14ac:dyDescent="0.3">
      <c r="A422" s="14">
        <v>62375802</v>
      </c>
      <c r="B422" s="14" t="s">
        <v>818</v>
      </c>
      <c r="C422" s="15" t="s">
        <v>822</v>
      </c>
      <c r="D422" s="34">
        <v>26733</v>
      </c>
      <c r="F422" s="7"/>
      <c r="G422" s="7">
        <f t="shared" si="25"/>
        <v>0</v>
      </c>
      <c r="H422" s="7">
        <f t="shared" si="26"/>
        <v>0</v>
      </c>
      <c r="I422" s="7"/>
      <c r="J422" s="7">
        <f t="shared" si="27"/>
        <v>0</v>
      </c>
      <c r="L422">
        <v>26733</v>
      </c>
      <c r="M422" t="b">
        <f t="shared" si="24"/>
        <v>1</v>
      </c>
    </row>
    <row r="423" spans="1:13" x14ac:dyDescent="0.3">
      <c r="A423" s="14">
        <v>62379668</v>
      </c>
      <c r="B423" s="14" t="s">
        <v>819</v>
      </c>
      <c r="C423" s="15" t="s">
        <v>823</v>
      </c>
      <c r="D423" s="34">
        <v>23383</v>
      </c>
      <c r="F423" s="7"/>
      <c r="G423" s="7">
        <f t="shared" si="25"/>
        <v>0</v>
      </c>
      <c r="H423" s="7">
        <f t="shared" si="26"/>
        <v>0</v>
      </c>
      <c r="I423" s="7"/>
      <c r="J423" s="7">
        <f t="shared" si="27"/>
        <v>0</v>
      </c>
      <c r="L423">
        <v>23383</v>
      </c>
      <c r="M423" t="b">
        <f t="shared" si="24"/>
        <v>1</v>
      </c>
    </row>
    <row r="424" spans="1:13" x14ac:dyDescent="0.3">
      <c r="A424" s="14">
        <v>62221331</v>
      </c>
      <c r="B424" s="14" t="s">
        <v>926</v>
      </c>
      <c r="C424" s="15" t="s">
        <v>824</v>
      </c>
      <c r="D424" s="34">
        <v>48100</v>
      </c>
      <c r="F424" s="7"/>
      <c r="G424" s="7">
        <f t="shared" si="25"/>
        <v>0</v>
      </c>
      <c r="H424" s="7">
        <f t="shared" si="26"/>
        <v>0</v>
      </c>
      <c r="I424" s="7"/>
      <c r="J424" s="7">
        <f t="shared" si="27"/>
        <v>0</v>
      </c>
      <c r="L424">
        <v>48100</v>
      </c>
      <c r="M424" t="b">
        <f t="shared" si="24"/>
        <v>1</v>
      </c>
    </row>
    <row r="425" spans="1:13" x14ac:dyDescent="0.3">
      <c r="A425" s="14">
        <v>62385013</v>
      </c>
      <c r="B425" s="14" t="s">
        <v>927</v>
      </c>
      <c r="C425" s="15" t="s">
        <v>825</v>
      </c>
      <c r="D425" s="34">
        <v>58960</v>
      </c>
      <c r="F425" s="7"/>
      <c r="G425" s="7">
        <f t="shared" si="25"/>
        <v>0</v>
      </c>
      <c r="H425" s="7">
        <f t="shared" si="26"/>
        <v>0</v>
      </c>
      <c r="I425" s="7"/>
      <c r="J425" s="7">
        <f t="shared" si="27"/>
        <v>0</v>
      </c>
      <c r="L425">
        <v>58960</v>
      </c>
      <c r="M425" t="b">
        <f t="shared" si="24"/>
        <v>1</v>
      </c>
    </row>
    <row r="426" spans="1:13" x14ac:dyDescent="0.3">
      <c r="A426" s="14">
        <v>62380995</v>
      </c>
      <c r="B426" s="14" t="s">
        <v>928</v>
      </c>
      <c r="C426" s="15" t="s">
        <v>826</v>
      </c>
      <c r="D426" s="34">
        <v>33366</v>
      </c>
      <c r="F426" s="7"/>
      <c r="G426" s="7">
        <f t="shared" si="25"/>
        <v>0</v>
      </c>
      <c r="H426" s="7">
        <f t="shared" si="26"/>
        <v>0</v>
      </c>
      <c r="I426" s="7"/>
      <c r="J426" s="7">
        <f t="shared" si="27"/>
        <v>0</v>
      </c>
      <c r="L426">
        <v>33366</v>
      </c>
      <c r="M426" t="b">
        <f t="shared" si="24"/>
        <v>1</v>
      </c>
    </row>
    <row r="427" spans="1:13" x14ac:dyDescent="0.3">
      <c r="A427" s="14">
        <v>62374813</v>
      </c>
      <c r="B427" s="14" t="s">
        <v>929</v>
      </c>
      <c r="C427" s="15" t="s">
        <v>827</v>
      </c>
      <c r="D427" s="34">
        <v>15343</v>
      </c>
      <c r="F427" s="7"/>
      <c r="G427" s="7">
        <f t="shared" si="25"/>
        <v>0</v>
      </c>
      <c r="H427" s="7">
        <f t="shared" si="26"/>
        <v>0</v>
      </c>
      <c r="I427" s="7"/>
      <c r="J427" s="7">
        <f t="shared" si="27"/>
        <v>0</v>
      </c>
      <c r="L427">
        <v>15343</v>
      </c>
      <c r="M427" t="b">
        <f t="shared" si="24"/>
        <v>1</v>
      </c>
    </row>
    <row r="428" spans="1:13" x14ac:dyDescent="0.3">
      <c r="A428" s="14">
        <v>62421723</v>
      </c>
      <c r="B428" s="14" t="s">
        <v>930</v>
      </c>
      <c r="C428" s="15" t="s">
        <v>830</v>
      </c>
      <c r="D428" s="34">
        <v>15343</v>
      </c>
      <c r="F428" s="7"/>
      <c r="G428" s="7">
        <f t="shared" si="25"/>
        <v>0</v>
      </c>
      <c r="H428" s="7">
        <f t="shared" si="26"/>
        <v>0</v>
      </c>
      <c r="I428" s="7"/>
      <c r="J428" s="7">
        <f t="shared" si="27"/>
        <v>0</v>
      </c>
      <c r="L428">
        <v>15343</v>
      </c>
      <c r="M428" t="b">
        <f t="shared" si="24"/>
        <v>1</v>
      </c>
    </row>
    <row r="429" spans="1:13" x14ac:dyDescent="0.3">
      <c r="A429" s="14">
        <v>62499786</v>
      </c>
      <c r="B429" s="14" t="s">
        <v>828</v>
      </c>
      <c r="C429" s="15" t="s">
        <v>832</v>
      </c>
      <c r="D429" s="36">
        <v>22043</v>
      </c>
      <c r="F429" s="7"/>
      <c r="G429" s="7">
        <f t="shared" si="25"/>
        <v>0</v>
      </c>
      <c r="H429" s="7">
        <f t="shared" si="26"/>
        <v>0</v>
      </c>
      <c r="I429" s="7"/>
      <c r="J429" s="7">
        <f t="shared" si="27"/>
        <v>0</v>
      </c>
      <c r="L429">
        <v>22043</v>
      </c>
      <c r="M429" t="b">
        <f t="shared" si="24"/>
        <v>1</v>
      </c>
    </row>
    <row r="430" spans="1:13" x14ac:dyDescent="0.3">
      <c r="A430" s="14">
        <v>62498583</v>
      </c>
      <c r="B430" s="14" t="s">
        <v>829</v>
      </c>
      <c r="C430" s="15" t="s">
        <v>831</v>
      </c>
      <c r="D430" s="36">
        <v>22043</v>
      </c>
      <c r="F430" s="7"/>
      <c r="G430" s="7">
        <f t="shared" si="25"/>
        <v>0</v>
      </c>
      <c r="H430" s="7">
        <f t="shared" si="26"/>
        <v>0</v>
      </c>
      <c r="I430" s="7"/>
      <c r="J430" s="7">
        <f t="shared" si="27"/>
        <v>0</v>
      </c>
      <c r="L430">
        <v>22043</v>
      </c>
      <c r="M430" t="b">
        <f t="shared" si="24"/>
        <v>1</v>
      </c>
    </row>
    <row r="431" spans="1:13" x14ac:dyDescent="0.3">
      <c r="A431" s="14">
        <v>63346456</v>
      </c>
      <c r="B431" s="14" t="s">
        <v>931</v>
      </c>
      <c r="C431" s="15" t="s">
        <v>833</v>
      </c>
      <c r="D431" s="34">
        <v>21638</v>
      </c>
      <c r="F431" s="7"/>
      <c r="G431" s="7">
        <f t="shared" si="25"/>
        <v>0</v>
      </c>
      <c r="H431" s="7">
        <f t="shared" si="26"/>
        <v>0</v>
      </c>
      <c r="I431" s="7"/>
      <c r="J431" s="7">
        <f t="shared" si="27"/>
        <v>0</v>
      </c>
      <c r="L431">
        <v>21638</v>
      </c>
      <c r="M431" t="b">
        <f t="shared" si="24"/>
        <v>1</v>
      </c>
    </row>
    <row r="432" spans="1:13" x14ac:dyDescent="0.3">
      <c r="A432" s="14">
        <v>63100963</v>
      </c>
      <c r="B432" s="14" t="s">
        <v>932</v>
      </c>
      <c r="C432" s="15" t="s">
        <v>834</v>
      </c>
      <c r="D432" s="34">
        <v>186930</v>
      </c>
      <c r="F432" s="7"/>
      <c r="G432" s="7">
        <f t="shared" si="25"/>
        <v>0</v>
      </c>
      <c r="H432" s="7">
        <f t="shared" si="26"/>
        <v>0</v>
      </c>
      <c r="I432" s="7"/>
      <c r="J432" s="7">
        <f t="shared" si="27"/>
        <v>0</v>
      </c>
      <c r="L432">
        <v>200330</v>
      </c>
      <c r="M432" t="b">
        <f t="shared" si="24"/>
        <v>0</v>
      </c>
    </row>
    <row r="433" spans="1:13" x14ac:dyDescent="0.3">
      <c r="A433" s="14">
        <v>63396496</v>
      </c>
      <c r="B433" s="14" t="s">
        <v>933</v>
      </c>
      <c r="C433" s="15" t="s">
        <v>835</v>
      </c>
      <c r="D433" s="34">
        <v>93130</v>
      </c>
      <c r="F433" s="7"/>
      <c r="G433" s="7">
        <f t="shared" si="25"/>
        <v>0</v>
      </c>
      <c r="H433" s="7">
        <f t="shared" si="26"/>
        <v>0</v>
      </c>
      <c r="I433" s="7"/>
      <c r="J433" s="7">
        <f t="shared" si="27"/>
        <v>0</v>
      </c>
      <c r="L433">
        <v>93130</v>
      </c>
      <c r="M433" t="b">
        <f t="shared" si="24"/>
        <v>1</v>
      </c>
    </row>
    <row r="434" spans="1:13" x14ac:dyDescent="0.3">
      <c r="A434" s="14">
        <v>63742200</v>
      </c>
      <c r="B434" s="14" t="s">
        <v>934</v>
      </c>
      <c r="C434" s="15" t="s">
        <v>836</v>
      </c>
      <c r="D434" s="34">
        <v>86430</v>
      </c>
      <c r="F434" s="7"/>
      <c r="G434" s="7">
        <f t="shared" si="25"/>
        <v>0</v>
      </c>
      <c r="H434" s="7">
        <f t="shared" si="26"/>
        <v>0</v>
      </c>
      <c r="I434" s="7"/>
      <c r="J434" s="7">
        <f t="shared" si="27"/>
        <v>0</v>
      </c>
      <c r="L434">
        <v>86430</v>
      </c>
      <c r="M434" t="b">
        <f t="shared" si="24"/>
        <v>1</v>
      </c>
    </row>
    <row r="435" spans="1:13" x14ac:dyDescent="0.3">
      <c r="A435" s="14">
        <v>62575565</v>
      </c>
      <c r="B435" s="14" t="s">
        <v>935</v>
      </c>
      <c r="C435" s="15" t="s">
        <v>837</v>
      </c>
      <c r="D435" s="34">
        <v>18538</v>
      </c>
      <c r="F435" s="7"/>
      <c r="G435" s="7">
        <f t="shared" si="25"/>
        <v>0</v>
      </c>
      <c r="H435" s="7">
        <f t="shared" si="26"/>
        <v>0</v>
      </c>
      <c r="I435" s="7"/>
      <c r="J435" s="7">
        <f t="shared" si="27"/>
        <v>0</v>
      </c>
      <c r="L435">
        <v>18538</v>
      </c>
      <c r="M435" t="b">
        <f t="shared" si="24"/>
        <v>1</v>
      </c>
    </row>
    <row r="436" spans="1:13" x14ac:dyDescent="0.3">
      <c r="A436" s="14">
        <v>63573761</v>
      </c>
      <c r="B436" s="14" t="s">
        <v>936</v>
      </c>
      <c r="C436" s="15" t="s">
        <v>838</v>
      </c>
      <c r="D436" s="34">
        <v>30016</v>
      </c>
      <c r="F436" s="7"/>
      <c r="G436" s="7">
        <f t="shared" si="25"/>
        <v>0</v>
      </c>
      <c r="H436" s="7">
        <f t="shared" si="26"/>
        <v>0</v>
      </c>
      <c r="I436" s="7"/>
      <c r="J436" s="7">
        <f t="shared" si="27"/>
        <v>0</v>
      </c>
      <c r="L436">
        <v>26733</v>
      </c>
      <c r="M436" t="b">
        <f t="shared" si="24"/>
        <v>0</v>
      </c>
    </row>
    <row r="437" spans="1:13" x14ac:dyDescent="0.3">
      <c r="A437" s="14">
        <v>64270608</v>
      </c>
      <c r="B437" s="14" t="s">
        <v>937</v>
      </c>
      <c r="C437" s="15" t="s">
        <v>839</v>
      </c>
      <c r="D437" s="34">
        <v>31296</v>
      </c>
      <c r="F437" s="7"/>
      <c r="G437" s="7">
        <f t="shared" si="25"/>
        <v>0</v>
      </c>
      <c r="H437" s="7">
        <f t="shared" si="26"/>
        <v>0</v>
      </c>
      <c r="I437" s="7"/>
      <c r="J437" s="7">
        <f t="shared" si="27"/>
        <v>0</v>
      </c>
      <c r="L437">
        <v>31296</v>
      </c>
      <c r="M437" t="b">
        <f t="shared" si="24"/>
        <v>1</v>
      </c>
    </row>
    <row r="438" spans="1:13" x14ac:dyDescent="0.3">
      <c r="A438" s="14">
        <v>64330763</v>
      </c>
      <c r="B438" s="14" t="s">
        <v>938</v>
      </c>
      <c r="C438" s="15" t="s">
        <v>840</v>
      </c>
      <c r="D438" s="34">
        <v>30016</v>
      </c>
      <c r="F438" s="7"/>
      <c r="G438" s="7">
        <f t="shared" si="25"/>
        <v>0</v>
      </c>
      <c r="H438" s="7">
        <f t="shared" si="26"/>
        <v>0</v>
      </c>
      <c r="I438" s="7"/>
      <c r="J438" s="7">
        <f t="shared" si="27"/>
        <v>0</v>
      </c>
      <c r="L438">
        <v>26733</v>
      </c>
      <c r="M438" t="b">
        <f t="shared" si="24"/>
        <v>0</v>
      </c>
    </row>
    <row r="439" spans="1:13" x14ac:dyDescent="0.3">
      <c r="A439" s="14">
        <v>64330764</v>
      </c>
      <c r="B439" s="14" t="s">
        <v>939</v>
      </c>
      <c r="C439" s="15" t="s">
        <v>841</v>
      </c>
      <c r="D439" s="34">
        <v>30016</v>
      </c>
      <c r="F439" s="7"/>
      <c r="G439" s="7">
        <f t="shared" si="25"/>
        <v>0</v>
      </c>
      <c r="H439" s="7">
        <f t="shared" si="26"/>
        <v>0</v>
      </c>
      <c r="I439" s="7"/>
      <c r="J439" s="7">
        <f t="shared" si="27"/>
        <v>0</v>
      </c>
      <c r="L439">
        <v>26733</v>
      </c>
      <c r="M439" t="b">
        <f t="shared" si="24"/>
        <v>0</v>
      </c>
    </row>
    <row r="440" spans="1:13" x14ac:dyDescent="0.3">
      <c r="A440" s="14">
        <v>64212552</v>
      </c>
      <c r="B440" s="14" t="s">
        <v>940</v>
      </c>
      <c r="C440" s="15" t="s">
        <v>842</v>
      </c>
      <c r="D440" s="34">
        <v>26666</v>
      </c>
      <c r="F440" s="7"/>
      <c r="G440" s="7">
        <f t="shared" si="25"/>
        <v>0</v>
      </c>
      <c r="H440" s="7">
        <f t="shared" si="26"/>
        <v>0</v>
      </c>
      <c r="I440" s="7"/>
      <c r="J440" s="7">
        <f t="shared" si="27"/>
        <v>0</v>
      </c>
      <c r="L440">
        <v>26666</v>
      </c>
      <c r="M440" t="b">
        <f t="shared" si="24"/>
        <v>1</v>
      </c>
    </row>
    <row r="441" spans="1:13" x14ac:dyDescent="0.3">
      <c r="A441" s="14">
        <v>64212544</v>
      </c>
      <c r="B441" s="14" t="s">
        <v>941</v>
      </c>
      <c r="C441" s="15" t="s">
        <v>843</v>
      </c>
      <c r="D441" s="34">
        <v>26666</v>
      </c>
      <c r="F441" s="7"/>
      <c r="G441" s="7">
        <f t="shared" si="25"/>
        <v>0</v>
      </c>
      <c r="H441" s="7">
        <f t="shared" si="26"/>
        <v>0</v>
      </c>
      <c r="I441" s="7"/>
      <c r="J441" s="7">
        <f t="shared" si="27"/>
        <v>0</v>
      </c>
      <c r="L441">
        <v>26666</v>
      </c>
      <c r="M441" t="b">
        <f t="shared" si="24"/>
        <v>1</v>
      </c>
    </row>
    <row r="442" spans="1:13" x14ac:dyDescent="0.3">
      <c r="A442" s="14">
        <v>64212543</v>
      </c>
      <c r="B442" s="14" t="s">
        <v>942</v>
      </c>
      <c r="C442" s="15" t="s">
        <v>844</v>
      </c>
      <c r="D442" s="34">
        <v>26666</v>
      </c>
      <c r="F442" s="7"/>
      <c r="G442" s="7">
        <f t="shared" si="25"/>
        <v>0</v>
      </c>
      <c r="H442" s="7">
        <f t="shared" si="26"/>
        <v>0</v>
      </c>
      <c r="I442" s="7"/>
      <c r="J442" s="7">
        <f t="shared" si="27"/>
        <v>0</v>
      </c>
      <c r="L442">
        <v>26666</v>
      </c>
      <c r="M442" t="b">
        <f t="shared" si="24"/>
        <v>1</v>
      </c>
    </row>
    <row r="443" spans="1:13" x14ac:dyDescent="0.3">
      <c r="A443" s="14">
        <v>64212381</v>
      </c>
      <c r="B443" s="14" t="s">
        <v>943</v>
      </c>
      <c r="C443" s="15" t="s">
        <v>845</v>
      </c>
      <c r="D443" s="34">
        <v>36783</v>
      </c>
      <c r="F443" s="7"/>
      <c r="G443" s="7">
        <f t="shared" si="25"/>
        <v>0</v>
      </c>
      <c r="H443" s="7">
        <f t="shared" si="26"/>
        <v>0</v>
      </c>
      <c r="I443" s="7"/>
      <c r="J443" s="7">
        <f t="shared" si="27"/>
        <v>0</v>
      </c>
      <c r="L443">
        <v>36783</v>
      </c>
      <c r="M443" t="b">
        <f t="shared" si="24"/>
        <v>1</v>
      </c>
    </row>
    <row r="444" spans="1:13" x14ac:dyDescent="0.3">
      <c r="A444" s="14">
        <v>64114088</v>
      </c>
      <c r="B444" s="14" t="s">
        <v>944</v>
      </c>
      <c r="C444" s="15" t="s">
        <v>846</v>
      </c>
      <c r="D444" s="34">
        <v>14885</v>
      </c>
      <c r="F444" s="7"/>
      <c r="G444" s="7">
        <f t="shared" si="25"/>
        <v>0</v>
      </c>
      <c r="H444" s="7">
        <f t="shared" si="26"/>
        <v>0</v>
      </c>
      <c r="I444" s="7"/>
      <c r="J444" s="7">
        <f t="shared" si="27"/>
        <v>0</v>
      </c>
      <c r="L444">
        <v>14885</v>
      </c>
      <c r="M444" t="b">
        <f t="shared" si="24"/>
        <v>1</v>
      </c>
    </row>
    <row r="445" spans="1:13" x14ac:dyDescent="0.3">
      <c r="A445" s="14">
        <v>64223250</v>
      </c>
      <c r="B445" s="14" t="s">
        <v>945</v>
      </c>
      <c r="C445" s="15" t="s">
        <v>847</v>
      </c>
      <c r="D445" s="34">
        <v>52930</v>
      </c>
      <c r="F445" s="7"/>
      <c r="G445" s="7">
        <f t="shared" si="25"/>
        <v>0</v>
      </c>
      <c r="H445" s="7">
        <f t="shared" si="26"/>
        <v>0</v>
      </c>
      <c r="I445" s="7"/>
      <c r="J445" s="7">
        <f t="shared" si="27"/>
        <v>0</v>
      </c>
      <c r="L445">
        <v>52930</v>
      </c>
      <c r="M445" t="b">
        <f t="shared" si="24"/>
        <v>1</v>
      </c>
    </row>
    <row r="446" spans="1:13" x14ac:dyDescent="0.3">
      <c r="A446" s="14">
        <v>64214259</v>
      </c>
      <c r="B446" s="14" t="s">
        <v>946</v>
      </c>
      <c r="C446" s="15" t="s">
        <v>848</v>
      </c>
      <c r="D446" s="34">
        <v>32093</v>
      </c>
      <c r="F446" s="7"/>
      <c r="G446" s="7">
        <f t="shared" si="25"/>
        <v>0</v>
      </c>
      <c r="H446" s="7">
        <f t="shared" si="26"/>
        <v>0</v>
      </c>
      <c r="I446" s="7"/>
      <c r="J446" s="7">
        <f t="shared" si="27"/>
        <v>0</v>
      </c>
      <c r="L446">
        <v>32093</v>
      </c>
      <c r="M446" t="b">
        <f t="shared" si="24"/>
        <v>1</v>
      </c>
    </row>
    <row r="447" spans="1:13" x14ac:dyDescent="0.3">
      <c r="A447" s="14">
        <v>64214258</v>
      </c>
      <c r="B447" s="14" t="s">
        <v>947</v>
      </c>
      <c r="C447" s="15" t="s">
        <v>849</v>
      </c>
      <c r="D447" s="34">
        <v>32093</v>
      </c>
      <c r="F447" s="7"/>
      <c r="G447" s="7">
        <f t="shared" si="25"/>
        <v>0</v>
      </c>
      <c r="H447" s="7">
        <f t="shared" si="26"/>
        <v>0</v>
      </c>
      <c r="I447" s="7"/>
      <c r="J447" s="7">
        <f t="shared" si="27"/>
        <v>0</v>
      </c>
      <c r="L447">
        <v>32093</v>
      </c>
      <c r="M447" t="b">
        <f t="shared" si="24"/>
        <v>1</v>
      </c>
    </row>
    <row r="448" spans="1:13" x14ac:dyDescent="0.3">
      <c r="A448" s="14">
        <v>64287980</v>
      </c>
      <c r="B448" s="14" t="s">
        <v>948</v>
      </c>
      <c r="C448" s="15" t="s">
        <v>850</v>
      </c>
      <c r="D448" s="34">
        <v>23383</v>
      </c>
      <c r="F448" s="7"/>
      <c r="G448" s="7">
        <f t="shared" si="25"/>
        <v>0</v>
      </c>
      <c r="H448" s="7">
        <f t="shared" si="26"/>
        <v>0</v>
      </c>
      <c r="I448" s="7"/>
      <c r="J448" s="7">
        <f t="shared" si="27"/>
        <v>0</v>
      </c>
      <c r="L448">
        <v>23383</v>
      </c>
      <c r="M448" t="b">
        <f t="shared" ref="M448:M511" si="28">D448=L448</f>
        <v>1</v>
      </c>
    </row>
    <row r="449" spans="1:13" x14ac:dyDescent="0.3">
      <c r="A449" s="14">
        <v>64257297</v>
      </c>
      <c r="B449" s="14" t="s">
        <v>949</v>
      </c>
      <c r="C449" s="15" t="s">
        <v>851</v>
      </c>
      <c r="D449" s="34">
        <v>15946</v>
      </c>
      <c r="F449" s="7"/>
      <c r="G449" s="7">
        <f t="shared" si="25"/>
        <v>0</v>
      </c>
      <c r="H449" s="7">
        <f t="shared" si="26"/>
        <v>0</v>
      </c>
      <c r="I449" s="7"/>
      <c r="J449" s="7">
        <f t="shared" si="27"/>
        <v>0</v>
      </c>
      <c r="L449">
        <v>13266</v>
      </c>
      <c r="M449" t="b">
        <f t="shared" si="28"/>
        <v>0</v>
      </c>
    </row>
    <row r="450" spans="1:13" x14ac:dyDescent="0.3">
      <c r="A450" s="14">
        <v>64330309</v>
      </c>
      <c r="B450" s="14" t="s">
        <v>950</v>
      </c>
      <c r="C450" s="15" t="s">
        <v>852</v>
      </c>
      <c r="D450" s="34">
        <v>40133</v>
      </c>
      <c r="F450" s="7"/>
      <c r="G450" s="7">
        <f t="shared" ref="G450:G467" si="29">IFERROR(VLOOKUP($F450,$A:$B,2,0),0)</f>
        <v>0</v>
      </c>
      <c r="H450" s="7">
        <f t="shared" ref="H450:H467" si="30">IFERROR(VLOOKUP($F450,$A:$D,3,0),0)</f>
        <v>0</v>
      </c>
      <c r="I450" s="7"/>
      <c r="J450" s="7">
        <f t="shared" ref="J450:J467" si="31">IFERROR(VLOOKUP($F450,$A:$D,4,0),0)</f>
        <v>0</v>
      </c>
      <c r="L450">
        <v>40133</v>
      </c>
      <c r="M450" t="b">
        <f t="shared" si="28"/>
        <v>1</v>
      </c>
    </row>
    <row r="451" spans="1:13" x14ac:dyDescent="0.3">
      <c r="A451" s="14">
        <v>64606094</v>
      </c>
      <c r="B451" s="14" t="s">
        <v>951</v>
      </c>
      <c r="C451" s="15" t="s">
        <v>854</v>
      </c>
      <c r="D451" s="34">
        <v>22043</v>
      </c>
      <c r="F451" s="7"/>
      <c r="G451" s="7">
        <f t="shared" si="29"/>
        <v>0</v>
      </c>
      <c r="H451" s="7">
        <f t="shared" si="30"/>
        <v>0</v>
      </c>
      <c r="I451" s="7"/>
      <c r="J451" s="7">
        <f t="shared" si="31"/>
        <v>0</v>
      </c>
      <c r="L451">
        <v>22043</v>
      </c>
      <c r="M451" t="b">
        <f t="shared" si="28"/>
        <v>1</v>
      </c>
    </row>
    <row r="452" spans="1:13" x14ac:dyDescent="0.3">
      <c r="A452" s="14">
        <v>64846264</v>
      </c>
      <c r="B452" s="14" t="s">
        <v>952</v>
      </c>
      <c r="C452" s="15" t="s">
        <v>855</v>
      </c>
      <c r="D452" s="34">
        <v>166830</v>
      </c>
      <c r="F452" s="7"/>
      <c r="G452" s="7">
        <f t="shared" si="29"/>
        <v>0</v>
      </c>
      <c r="H452" s="7">
        <f t="shared" si="30"/>
        <v>0</v>
      </c>
      <c r="I452" s="7"/>
      <c r="J452" s="7">
        <f t="shared" si="31"/>
        <v>0</v>
      </c>
      <c r="L452">
        <v>166830</v>
      </c>
      <c r="M452" t="b">
        <f t="shared" si="28"/>
        <v>1</v>
      </c>
    </row>
    <row r="453" spans="1:13" x14ac:dyDescent="0.3">
      <c r="A453" s="14">
        <v>64753996</v>
      </c>
      <c r="B453" s="14" t="s">
        <v>853</v>
      </c>
      <c r="C453" s="15" t="s">
        <v>856</v>
      </c>
      <c r="D453" s="34">
        <v>135850</v>
      </c>
      <c r="F453" s="7"/>
      <c r="G453" s="7">
        <f t="shared" si="29"/>
        <v>0</v>
      </c>
      <c r="H453" s="7">
        <f t="shared" si="30"/>
        <v>0</v>
      </c>
      <c r="I453" s="7"/>
      <c r="J453" s="7">
        <f t="shared" si="31"/>
        <v>0</v>
      </c>
      <c r="L453">
        <v>135850</v>
      </c>
      <c r="M453" t="b">
        <f t="shared" si="28"/>
        <v>1</v>
      </c>
    </row>
    <row r="454" spans="1:13" x14ac:dyDescent="0.3">
      <c r="A454" s="14">
        <v>64778162</v>
      </c>
      <c r="B454" s="14" t="s">
        <v>1147</v>
      </c>
      <c r="C454" s="15" t="s">
        <v>1148</v>
      </c>
      <c r="D454" s="34">
        <v>20033</v>
      </c>
      <c r="F454" s="7"/>
      <c r="G454" s="7">
        <f t="shared" si="29"/>
        <v>0</v>
      </c>
      <c r="H454" s="7">
        <f t="shared" si="30"/>
        <v>0</v>
      </c>
      <c r="I454" s="7"/>
      <c r="J454" s="7">
        <f t="shared" si="31"/>
        <v>0</v>
      </c>
      <c r="L454">
        <v>20033</v>
      </c>
      <c r="M454" t="b">
        <f t="shared" si="28"/>
        <v>1</v>
      </c>
    </row>
    <row r="455" spans="1:13" x14ac:dyDescent="0.3">
      <c r="A455" s="14">
        <v>64778161</v>
      </c>
      <c r="B455" s="14" t="s">
        <v>953</v>
      </c>
      <c r="C455" s="15" t="s">
        <v>857</v>
      </c>
      <c r="D455" s="34">
        <v>20033</v>
      </c>
      <c r="F455" s="7"/>
      <c r="G455" s="7">
        <f t="shared" si="29"/>
        <v>0</v>
      </c>
      <c r="H455" s="7">
        <f t="shared" si="30"/>
        <v>0</v>
      </c>
      <c r="I455" s="7"/>
      <c r="J455" s="7">
        <f t="shared" si="31"/>
        <v>0</v>
      </c>
      <c r="L455">
        <v>20033</v>
      </c>
      <c r="M455" t="b">
        <f t="shared" si="28"/>
        <v>1</v>
      </c>
    </row>
    <row r="456" spans="1:13" x14ac:dyDescent="0.3">
      <c r="A456" s="14">
        <v>64808932</v>
      </c>
      <c r="B456" s="14" t="s">
        <v>954</v>
      </c>
      <c r="C456" s="15" t="s">
        <v>858</v>
      </c>
      <c r="D456" s="34">
        <v>18693</v>
      </c>
      <c r="F456" s="7"/>
      <c r="G456" s="7">
        <f t="shared" si="29"/>
        <v>0</v>
      </c>
      <c r="H456" s="7">
        <f t="shared" si="30"/>
        <v>0</v>
      </c>
      <c r="I456" s="7"/>
      <c r="J456" s="7">
        <f t="shared" si="31"/>
        <v>0</v>
      </c>
      <c r="L456">
        <v>18693</v>
      </c>
      <c r="M456" t="b">
        <f t="shared" si="28"/>
        <v>1</v>
      </c>
    </row>
    <row r="457" spans="1:13" x14ac:dyDescent="0.3">
      <c r="A457" s="14">
        <v>64789478</v>
      </c>
      <c r="B457" s="14" t="s">
        <v>955</v>
      </c>
      <c r="C457" s="15" t="s">
        <v>859</v>
      </c>
      <c r="D457" s="34">
        <v>59360</v>
      </c>
      <c r="F457" s="7"/>
      <c r="G457" s="7">
        <f t="shared" si="29"/>
        <v>0</v>
      </c>
      <c r="H457" s="7">
        <f t="shared" si="30"/>
        <v>0</v>
      </c>
      <c r="I457" s="7"/>
      <c r="J457" s="7">
        <f t="shared" si="31"/>
        <v>0</v>
      </c>
      <c r="L457">
        <v>59360</v>
      </c>
      <c r="M457" t="b">
        <f t="shared" si="28"/>
        <v>1</v>
      </c>
    </row>
    <row r="458" spans="1:13" x14ac:dyDescent="0.3">
      <c r="A458" s="14">
        <v>64912430</v>
      </c>
      <c r="B458" s="14" t="s">
        <v>956</v>
      </c>
      <c r="C458" s="15" t="s">
        <v>860</v>
      </c>
      <c r="D458" s="34">
        <v>38793</v>
      </c>
      <c r="F458" s="7"/>
      <c r="G458" s="7">
        <f t="shared" si="29"/>
        <v>0</v>
      </c>
      <c r="H458" s="7">
        <f t="shared" si="30"/>
        <v>0</v>
      </c>
      <c r="I458" s="7"/>
      <c r="J458" s="7">
        <f t="shared" si="31"/>
        <v>0</v>
      </c>
      <c r="L458">
        <v>38793</v>
      </c>
      <c r="M458" t="b">
        <f t="shared" si="28"/>
        <v>1</v>
      </c>
    </row>
    <row r="459" spans="1:13" x14ac:dyDescent="0.3">
      <c r="A459" s="14">
        <v>64971361</v>
      </c>
      <c r="B459" s="14" t="s">
        <v>957</v>
      </c>
      <c r="C459" s="15" t="s">
        <v>861</v>
      </c>
      <c r="D459" s="34">
        <v>10586</v>
      </c>
      <c r="F459" s="7"/>
      <c r="G459" s="7">
        <f t="shared" si="29"/>
        <v>0</v>
      </c>
      <c r="H459" s="7">
        <f t="shared" si="30"/>
        <v>0</v>
      </c>
      <c r="I459" s="7"/>
      <c r="J459" s="7">
        <f t="shared" si="31"/>
        <v>0</v>
      </c>
      <c r="L459">
        <v>10586</v>
      </c>
      <c r="M459" t="b">
        <f t="shared" si="28"/>
        <v>1</v>
      </c>
    </row>
    <row r="460" spans="1:13" x14ac:dyDescent="0.3">
      <c r="A460" s="14">
        <v>65145714</v>
      </c>
      <c r="B460" s="14" t="s">
        <v>958</v>
      </c>
      <c r="C460" s="15" t="s">
        <v>862</v>
      </c>
      <c r="D460" s="34">
        <v>213060</v>
      </c>
      <c r="F460" s="7"/>
      <c r="G460" s="7">
        <f t="shared" si="29"/>
        <v>0</v>
      </c>
      <c r="H460" s="7">
        <f t="shared" si="30"/>
        <v>0</v>
      </c>
      <c r="I460" s="7"/>
      <c r="J460" s="7">
        <f t="shared" si="31"/>
        <v>0</v>
      </c>
      <c r="L460">
        <v>213060</v>
      </c>
      <c r="M460" t="b">
        <f t="shared" si="28"/>
        <v>1</v>
      </c>
    </row>
    <row r="461" spans="1:13" x14ac:dyDescent="0.3">
      <c r="A461" s="14">
        <v>65081124</v>
      </c>
      <c r="B461" s="14" t="s">
        <v>959</v>
      </c>
      <c r="C461" s="15" t="s">
        <v>863</v>
      </c>
      <c r="D461" s="34">
        <v>18693</v>
      </c>
      <c r="F461" s="7"/>
      <c r="G461" s="7">
        <f t="shared" si="29"/>
        <v>0</v>
      </c>
      <c r="H461" s="7">
        <f t="shared" si="30"/>
        <v>0</v>
      </c>
      <c r="I461" s="7"/>
      <c r="J461" s="7">
        <f t="shared" si="31"/>
        <v>0</v>
      </c>
      <c r="L461">
        <v>18693</v>
      </c>
      <c r="M461" t="b">
        <f t="shared" si="28"/>
        <v>1</v>
      </c>
    </row>
    <row r="462" spans="1:13" x14ac:dyDescent="0.3">
      <c r="A462" s="14">
        <v>65181042</v>
      </c>
      <c r="B462" s="14" t="s">
        <v>960</v>
      </c>
      <c r="C462" s="15" t="s">
        <v>864</v>
      </c>
      <c r="D462" s="34">
        <v>66330</v>
      </c>
      <c r="F462" s="7"/>
      <c r="G462" s="7">
        <f t="shared" si="29"/>
        <v>0</v>
      </c>
      <c r="H462" s="7">
        <f t="shared" si="30"/>
        <v>0</v>
      </c>
      <c r="I462" s="7"/>
      <c r="J462" s="7">
        <f t="shared" si="31"/>
        <v>0</v>
      </c>
      <c r="L462">
        <v>66330</v>
      </c>
      <c r="M462" t="b">
        <f t="shared" si="28"/>
        <v>1</v>
      </c>
    </row>
    <row r="463" spans="1:13" x14ac:dyDescent="0.3">
      <c r="A463" s="14">
        <v>65179405</v>
      </c>
      <c r="B463" s="14" t="s">
        <v>961</v>
      </c>
      <c r="C463" s="15" t="s">
        <v>865</v>
      </c>
      <c r="D463" s="34">
        <v>52930</v>
      </c>
      <c r="F463" s="7"/>
      <c r="G463" s="7">
        <f t="shared" si="29"/>
        <v>0</v>
      </c>
      <c r="H463" s="7">
        <f t="shared" si="30"/>
        <v>0</v>
      </c>
      <c r="I463" s="7"/>
      <c r="J463" s="7">
        <f t="shared" si="31"/>
        <v>0</v>
      </c>
      <c r="L463">
        <v>52930</v>
      </c>
      <c r="M463" t="b">
        <f t="shared" si="28"/>
        <v>1</v>
      </c>
    </row>
    <row r="464" spans="1:13" x14ac:dyDescent="0.3">
      <c r="A464" s="14">
        <v>65566244</v>
      </c>
      <c r="B464" s="14" t="s">
        <v>962</v>
      </c>
      <c r="C464" s="15" t="s">
        <v>866</v>
      </c>
      <c r="D464" s="34">
        <v>106530</v>
      </c>
      <c r="F464" s="7"/>
      <c r="G464" s="7">
        <f t="shared" si="29"/>
        <v>0</v>
      </c>
      <c r="H464" s="7">
        <f t="shared" si="30"/>
        <v>0</v>
      </c>
      <c r="I464" s="7"/>
      <c r="J464" s="7">
        <f t="shared" si="31"/>
        <v>0</v>
      </c>
      <c r="L464">
        <v>106530</v>
      </c>
      <c r="M464" t="b">
        <f t="shared" si="28"/>
        <v>1</v>
      </c>
    </row>
    <row r="465" spans="1:14" x14ac:dyDescent="0.3">
      <c r="A465" s="14">
        <v>65566541</v>
      </c>
      <c r="B465" s="14" t="s">
        <v>963</v>
      </c>
      <c r="C465" s="15" t="s">
        <v>867</v>
      </c>
      <c r="D465" s="34">
        <v>99830</v>
      </c>
      <c r="F465" s="7"/>
      <c r="G465" s="7">
        <f t="shared" si="29"/>
        <v>0</v>
      </c>
      <c r="H465" s="7">
        <f t="shared" si="30"/>
        <v>0</v>
      </c>
      <c r="I465" s="7"/>
      <c r="J465" s="7">
        <f t="shared" si="31"/>
        <v>0</v>
      </c>
      <c r="L465">
        <v>99830</v>
      </c>
      <c r="M465" t="b">
        <f t="shared" si="28"/>
        <v>1</v>
      </c>
    </row>
    <row r="466" spans="1:14" x14ac:dyDescent="0.3">
      <c r="A466" s="14">
        <v>65656468</v>
      </c>
      <c r="B466" s="14" t="s">
        <v>964</v>
      </c>
      <c r="C466" s="15" t="s">
        <v>868</v>
      </c>
      <c r="D466" s="34">
        <v>73030</v>
      </c>
      <c r="F466" s="7"/>
      <c r="G466" s="7">
        <f t="shared" si="29"/>
        <v>0</v>
      </c>
      <c r="H466" s="7">
        <f t="shared" si="30"/>
        <v>0</v>
      </c>
      <c r="I466" s="7"/>
      <c r="J466" s="7">
        <f t="shared" si="31"/>
        <v>0</v>
      </c>
      <c r="L466">
        <v>73030</v>
      </c>
      <c r="M466" t="b">
        <f t="shared" si="28"/>
        <v>1</v>
      </c>
    </row>
    <row r="467" spans="1:14" x14ac:dyDescent="0.3">
      <c r="A467" s="14">
        <v>65657039</v>
      </c>
      <c r="B467" s="14" t="s">
        <v>965</v>
      </c>
      <c r="C467" s="15" t="s">
        <v>869</v>
      </c>
      <c r="D467" s="34">
        <v>133330</v>
      </c>
      <c r="F467" s="7"/>
      <c r="G467" s="7">
        <f t="shared" si="29"/>
        <v>0</v>
      </c>
      <c r="H467" s="7">
        <f t="shared" si="30"/>
        <v>0</v>
      </c>
      <c r="I467" s="7"/>
      <c r="J467" s="7">
        <f t="shared" si="31"/>
        <v>0</v>
      </c>
      <c r="L467">
        <v>133330</v>
      </c>
      <c r="M467" t="b">
        <f t="shared" si="28"/>
        <v>1</v>
      </c>
    </row>
    <row r="468" spans="1:14" x14ac:dyDescent="0.3">
      <c r="A468" s="14">
        <v>65935700</v>
      </c>
      <c r="B468" s="14" t="s">
        <v>966</v>
      </c>
      <c r="C468" s="14" t="s">
        <v>872</v>
      </c>
      <c r="D468" s="34">
        <v>23383</v>
      </c>
      <c r="L468">
        <v>23383</v>
      </c>
      <c r="M468" t="b">
        <f t="shared" si="28"/>
        <v>1</v>
      </c>
    </row>
    <row r="469" spans="1:14" x14ac:dyDescent="0.3">
      <c r="A469" s="14">
        <v>65934564</v>
      </c>
      <c r="B469" s="14" t="s">
        <v>967</v>
      </c>
      <c r="C469" s="14" t="s">
        <v>873</v>
      </c>
      <c r="D469" s="34">
        <v>23383</v>
      </c>
      <c r="L469">
        <v>23383</v>
      </c>
      <c r="M469" t="b">
        <f t="shared" si="28"/>
        <v>1</v>
      </c>
    </row>
    <row r="470" spans="1:14" x14ac:dyDescent="0.3">
      <c r="A470" s="14">
        <v>65933937</v>
      </c>
      <c r="B470" s="14" t="s">
        <v>968</v>
      </c>
      <c r="C470" s="14" t="s">
        <v>874</v>
      </c>
      <c r="D470" s="34">
        <v>23383</v>
      </c>
      <c r="L470">
        <v>23383</v>
      </c>
      <c r="M470" t="b">
        <f t="shared" si="28"/>
        <v>1</v>
      </c>
    </row>
    <row r="471" spans="1:14" x14ac:dyDescent="0.3">
      <c r="A471" s="14">
        <v>65969750</v>
      </c>
      <c r="B471" s="14" t="s">
        <v>969</v>
      </c>
      <c r="C471" s="14" t="s">
        <v>875</v>
      </c>
      <c r="D471" s="34">
        <v>52930</v>
      </c>
      <c r="L471">
        <v>52930</v>
      </c>
      <c r="M471" t="b">
        <f t="shared" si="28"/>
        <v>1</v>
      </c>
    </row>
    <row r="472" spans="1:14" x14ac:dyDescent="0.3">
      <c r="A472" s="14">
        <v>66046959</v>
      </c>
      <c r="B472" s="14" t="s">
        <v>970</v>
      </c>
      <c r="C472" s="14" t="s">
        <v>876</v>
      </c>
      <c r="D472" s="34">
        <v>43483</v>
      </c>
      <c r="L472">
        <v>43483</v>
      </c>
      <c r="M472" t="b">
        <f t="shared" si="28"/>
        <v>1</v>
      </c>
    </row>
    <row r="473" spans="1:14" x14ac:dyDescent="0.3">
      <c r="A473" s="14">
        <v>66217025</v>
      </c>
      <c r="B473" s="14" t="s">
        <v>971</v>
      </c>
      <c r="C473" s="14" t="s">
        <v>877</v>
      </c>
      <c r="D473" s="34">
        <v>26666</v>
      </c>
      <c r="L473">
        <v>26666</v>
      </c>
      <c r="M473" t="b">
        <f t="shared" si="28"/>
        <v>1</v>
      </c>
    </row>
    <row r="474" spans="1:14" x14ac:dyDescent="0.3">
      <c r="A474" s="14">
        <v>66214618</v>
      </c>
      <c r="B474" s="14" t="s">
        <v>972</v>
      </c>
      <c r="C474" s="14" t="s">
        <v>878</v>
      </c>
      <c r="D474" s="34">
        <v>26666</v>
      </c>
      <c r="L474">
        <v>26666</v>
      </c>
      <c r="M474" t="b">
        <f t="shared" si="28"/>
        <v>1</v>
      </c>
    </row>
    <row r="475" spans="1:14" x14ac:dyDescent="0.3">
      <c r="A475" s="14">
        <v>66097436</v>
      </c>
      <c r="B475" s="14" t="s">
        <v>973</v>
      </c>
      <c r="C475" s="14" t="s">
        <v>879</v>
      </c>
      <c r="D475" s="34">
        <v>26530</v>
      </c>
      <c r="L475">
        <v>26530</v>
      </c>
      <c r="M475" t="b">
        <f t="shared" si="28"/>
        <v>1</v>
      </c>
    </row>
    <row r="476" spans="1:14" x14ac:dyDescent="0.3">
      <c r="A476" s="14">
        <v>66358440</v>
      </c>
      <c r="B476" s="14" t="s">
        <v>974</v>
      </c>
      <c r="C476" s="14" t="s">
        <v>880</v>
      </c>
      <c r="D476" s="34">
        <v>21976</v>
      </c>
      <c r="L476">
        <v>21976</v>
      </c>
      <c r="M476" t="b">
        <f t="shared" si="28"/>
        <v>1</v>
      </c>
    </row>
    <row r="477" spans="1:14" x14ac:dyDescent="0.3">
      <c r="A477" s="14">
        <v>66417803</v>
      </c>
      <c r="B477" s="14" t="s">
        <v>975</v>
      </c>
      <c r="C477" s="14" t="s">
        <v>881</v>
      </c>
      <c r="D477" s="34">
        <v>79730</v>
      </c>
      <c r="L477">
        <v>79730</v>
      </c>
      <c r="M477" t="b">
        <f t="shared" si="28"/>
        <v>1</v>
      </c>
    </row>
    <row r="478" spans="1:14" x14ac:dyDescent="0.3">
      <c r="A478" s="14">
        <v>66417801</v>
      </c>
      <c r="B478" s="14" t="s">
        <v>976</v>
      </c>
      <c r="C478" s="14" t="s">
        <v>882</v>
      </c>
      <c r="D478" s="34">
        <v>79730</v>
      </c>
      <c r="L478">
        <v>79730</v>
      </c>
      <c r="M478" t="b">
        <f t="shared" si="28"/>
        <v>1</v>
      </c>
    </row>
    <row r="479" spans="1:14" x14ac:dyDescent="0.3">
      <c r="A479" s="14">
        <v>66357977</v>
      </c>
      <c r="B479" s="14" t="s">
        <v>977</v>
      </c>
      <c r="C479" s="14" t="s">
        <v>883</v>
      </c>
      <c r="D479" s="34">
        <v>33433</v>
      </c>
      <c r="L479">
        <v>33433</v>
      </c>
      <c r="M479" t="b">
        <f t="shared" si="28"/>
        <v>1</v>
      </c>
    </row>
    <row r="480" spans="1:14" s="33" customFormat="1" x14ac:dyDescent="0.3">
      <c r="A480" s="32">
        <v>66546178</v>
      </c>
      <c r="B480" s="32" t="s">
        <v>978</v>
      </c>
      <c r="C480" s="32" t="s">
        <v>884</v>
      </c>
      <c r="D480" s="35">
        <v>36716</v>
      </c>
      <c r="L480">
        <v>36716</v>
      </c>
      <c r="M480" s="33" t="b">
        <f t="shared" si="28"/>
        <v>1</v>
      </c>
      <c r="N480" s="33" t="s">
        <v>1036</v>
      </c>
    </row>
    <row r="481" spans="1:13" x14ac:dyDescent="0.3">
      <c r="A481" s="14">
        <v>66607099</v>
      </c>
      <c r="B481" s="14" t="s">
        <v>992</v>
      </c>
      <c r="C481" s="14" t="s">
        <v>885</v>
      </c>
      <c r="D481" s="34">
        <v>66330</v>
      </c>
      <c r="L481">
        <v>66330</v>
      </c>
      <c r="M481" t="b">
        <f t="shared" si="28"/>
        <v>1</v>
      </c>
    </row>
    <row r="482" spans="1:13" x14ac:dyDescent="0.3">
      <c r="A482" s="14">
        <v>66778787</v>
      </c>
      <c r="B482" s="14" t="s">
        <v>979</v>
      </c>
      <c r="C482" s="14" t="s">
        <v>886</v>
      </c>
      <c r="D482" s="34">
        <v>17353</v>
      </c>
      <c r="L482">
        <v>17353</v>
      </c>
      <c r="M482" t="b">
        <f t="shared" si="28"/>
        <v>1</v>
      </c>
    </row>
    <row r="483" spans="1:13" x14ac:dyDescent="0.3">
      <c r="A483" s="14">
        <v>66778788</v>
      </c>
      <c r="B483" s="14" t="s">
        <v>980</v>
      </c>
      <c r="C483" s="14" t="s">
        <v>887</v>
      </c>
      <c r="D483" s="34">
        <v>17353</v>
      </c>
      <c r="L483">
        <v>17353</v>
      </c>
      <c r="M483" t="b">
        <f t="shared" si="28"/>
        <v>1</v>
      </c>
    </row>
    <row r="484" spans="1:13" x14ac:dyDescent="0.3">
      <c r="A484" s="14">
        <v>66778789</v>
      </c>
      <c r="B484" s="14" t="s">
        <v>981</v>
      </c>
      <c r="C484" s="14" t="s">
        <v>888</v>
      </c>
      <c r="D484" s="34">
        <v>17353</v>
      </c>
      <c r="L484">
        <v>17353</v>
      </c>
      <c r="M484" t="b">
        <f t="shared" si="28"/>
        <v>1</v>
      </c>
    </row>
    <row r="485" spans="1:13" x14ac:dyDescent="0.3">
      <c r="A485" s="14">
        <v>66896364</v>
      </c>
      <c r="B485" s="14" t="s">
        <v>982</v>
      </c>
      <c r="C485" s="14" t="s">
        <v>889</v>
      </c>
      <c r="D485" s="34">
        <v>40133</v>
      </c>
      <c r="L485">
        <v>52863</v>
      </c>
      <c r="M485" t="b">
        <f t="shared" si="28"/>
        <v>0</v>
      </c>
    </row>
    <row r="486" spans="1:13" x14ac:dyDescent="0.3">
      <c r="A486" s="14">
        <v>66864708</v>
      </c>
      <c r="B486" s="14" t="s">
        <v>983</v>
      </c>
      <c r="C486" s="14" t="s">
        <v>890</v>
      </c>
      <c r="D486" s="34">
        <v>15343</v>
      </c>
      <c r="L486">
        <v>15343</v>
      </c>
      <c r="M486" t="b">
        <f t="shared" si="28"/>
        <v>1</v>
      </c>
    </row>
    <row r="487" spans="1:13" x14ac:dyDescent="0.3">
      <c r="A487" s="31">
        <v>66850322</v>
      </c>
      <c r="B487" s="14" t="s">
        <v>984</v>
      </c>
      <c r="C487" s="14" t="s">
        <v>891</v>
      </c>
      <c r="D487" s="34">
        <v>15343</v>
      </c>
      <c r="L487">
        <v>15343</v>
      </c>
      <c r="M487" t="b">
        <f t="shared" si="28"/>
        <v>1</v>
      </c>
    </row>
    <row r="488" spans="1:13" x14ac:dyDescent="0.3">
      <c r="A488" s="31">
        <v>67191572</v>
      </c>
      <c r="B488" s="14" t="s">
        <v>985</v>
      </c>
      <c r="C488" s="14" t="s">
        <v>892</v>
      </c>
      <c r="D488" s="34">
        <v>26733</v>
      </c>
      <c r="L488">
        <v>26733</v>
      </c>
      <c r="M488" t="b">
        <f t="shared" si="28"/>
        <v>1</v>
      </c>
    </row>
    <row r="489" spans="1:13" x14ac:dyDescent="0.3">
      <c r="A489" s="31">
        <v>67268341</v>
      </c>
      <c r="B489" s="14" t="s">
        <v>986</v>
      </c>
      <c r="C489" s="14" t="s">
        <v>893</v>
      </c>
      <c r="D489" s="34">
        <v>29185</v>
      </c>
      <c r="L489">
        <v>29185</v>
      </c>
      <c r="M489" t="b">
        <f t="shared" si="28"/>
        <v>1</v>
      </c>
    </row>
    <row r="490" spans="1:13" x14ac:dyDescent="0.3">
      <c r="A490" s="31">
        <v>67268348</v>
      </c>
      <c r="B490" s="14" t="s">
        <v>987</v>
      </c>
      <c r="C490" s="14" t="s">
        <v>894</v>
      </c>
      <c r="D490" s="34">
        <v>29185</v>
      </c>
      <c r="L490">
        <v>29185</v>
      </c>
      <c r="M490" t="b">
        <f t="shared" si="28"/>
        <v>1</v>
      </c>
    </row>
    <row r="491" spans="1:13" x14ac:dyDescent="0.3">
      <c r="A491" s="31">
        <v>67268349</v>
      </c>
      <c r="B491" s="14" t="s">
        <v>988</v>
      </c>
      <c r="C491" s="14" t="s">
        <v>895</v>
      </c>
      <c r="D491" s="34">
        <v>29185</v>
      </c>
      <c r="L491">
        <v>29185</v>
      </c>
      <c r="M491" t="b">
        <f t="shared" si="28"/>
        <v>1</v>
      </c>
    </row>
    <row r="492" spans="1:13" x14ac:dyDescent="0.3">
      <c r="A492" s="31">
        <v>67268350</v>
      </c>
      <c r="B492" s="14" t="s">
        <v>989</v>
      </c>
      <c r="C492" s="14" t="s">
        <v>896</v>
      </c>
      <c r="D492" s="34">
        <v>29185</v>
      </c>
      <c r="L492">
        <v>29185</v>
      </c>
      <c r="M492" t="b">
        <f t="shared" si="28"/>
        <v>1</v>
      </c>
    </row>
    <row r="493" spans="1:13" x14ac:dyDescent="0.3">
      <c r="A493" s="31">
        <v>67272047</v>
      </c>
      <c r="B493" s="14" t="s">
        <v>990</v>
      </c>
      <c r="C493" s="14" t="s">
        <v>1077</v>
      </c>
      <c r="D493" s="34">
        <v>24635</v>
      </c>
      <c r="L493">
        <v>24635</v>
      </c>
      <c r="M493" t="b">
        <f t="shared" si="28"/>
        <v>1</v>
      </c>
    </row>
    <row r="494" spans="1:13" x14ac:dyDescent="0.3">
      <c r="A494" s="31">
        <v>67272046</v>
      </c>
      <c r="B494" s="14" t="s">
        <v>991</v>
      </c>
      <c r="C494" s="14" t="s">
        <v>1078</v>
      </c>
      <c r="D494" s="34">
        <v>24635</v>
      </c>
      <c r="L494">
        <v>24635</v>
      </c>
      <c r="M494" t="b">
        <f t="shared" si="28"/>
        <v>1</v>
      </c>
    </row>
    <row r="495" spans="1:13" x14ac:dyDescent="0.3">
      <c r="A495" s="31">
        <v>67438488</v>
      </c>
      <c r="B495" s="14" t="s">
        <v>897</v>
      </c>
      <c r="C495" s="14" t="s">
        <v>899</v>
      </c>
      <c r="D495" s="34">
        <v>23316</v>
      </c>
      <c r="L495">
        <v>26666</v>
      </c>
      <c r="M495" t="b">
        <f t="shared" si="28"/>
        <v>0</v>
      </c>
    </row>
    <row r="496" spans="1:13" x14ac:dyDescent="0.3">
      <c r="A496" s="31">
        <v>67438487</v>
      </c>
      <c r="B496" s="14" t="s">
        <v>898</v>
      </c>
      <c r="C496" s="14" t="s">
        <v>900</v>
      </c>
      <c r="D496" s="34">
        <v>23316</v>
      </c>
      <c r="L496">
        <v>26666</v>
      </c>
      <c r="M496" t="b">
        <f t="shared" si="28"/>
        <v>0</v>
      </c>
    </row>
    <row r="497" spans="1:14" x14ac:dyDescent="0.3">
      <c r="A497" s="31">
        <v>67627331</v>
      </c>
      <c r="B497" s="14" t="s">
        <v>996</v>
      </c>
      <c r="C497" s="14" t="s">
        <v>998</v>
      </c>
      <c r="D497" s="34">
        <v>36716</v>
      </c>
      <c r="L497">
        <v>36716</v>
      </c>
      <c r="M497" t="b">
        <f t="shared" si="28"/>
        <v>1</v>
      </c>
    </row>
    <row r="498" spans="1:14" x14ac:dyDescent="0.3">
      <c r="A498" s="14">
        <v>67630646</v>
      </c>
      <c r="B498" s="14" t="s">
        <v>997</v>
      </c>
      <c r="C498" s="14" t="s">
        <v>1029</v>
      </c>
      <c r="D498" s="34">
        <v>25393</v>
      </c>
      <c r="L498">
        <v>25393</v>
      </c>
      <c r="M498" t="b">
        <f t="shared" si="28"/>
        <v>1</v>
      </c>
    </row>
    <row r="499" spans="1:14" x14ac:dyDescent="0.3">
      <c r="A499" s="14">
        <v>67891311</v>
      </c>
      <c r="B499" s="14" t="s">
        <v>999</v>
      </c>
      <c r="C499" s="14" t="s">
        <v>1000</v>
      </c>
      <c r="D499" s="34">
        <v>26733</v>
      </c>
      <c r="L499">
        <v>26733</v>
      </c>
      <c r="M499" t="b">
        <f t="shared" si="28"/>
        <v>1</v>
      </c>
    </row>
    <row r="500" spans="1:14" x14ac:dyDescent="0.3">
      <c r="A500" s="14">
        <v>67900090</v>
      </c>
      <c r="B500" s="14" t="s">
        <v>1001</v>
      </c>
      <c r="C500" s="14" t="s">
        <v>1004</v>
      </c>
      <c r="D500" s="34">
        <v>43483</v>
      </c>
      <c r="L500">
        <v>43483</v>
      </c>
      <c r="M500" t="b">
        <f t="shared" si="28"/>
        <v>1</v>
      </c>
    </row>
    <row r="501" spans="1:14" x14ac:dyDescent="0.3">
      <c r="A501" s="14">
        <v>67974104</v>
      </c>
      <c r="B501" s="14" t="s">
        <v>1002</v>
      </c>
      <c r="C501" s="14" t="s">
        <v>1003</v>
      </c>
      <c r="D501" s="34">
        <v>13333</v>
      </c>
      <c r="L501">
        <v>13333</v>
      </c>
      <c r="M501" t="b">
        <f t="shared" si="28"/>
        <v>1</v>
      </c>
    </row>
    <row r="502" spans="1:14" x14ac:dyDescent="0.3">
      <c r="A502" s="14">
        <v>68253037</v>
      </c>
      <c r="B502" s="14" t="s">
        <v>1005</v>
      </c>
      <c r="C502" s="14" t="s">
        <v>1006</v>
      </c>
      <c r="D502" s="34">
        <v>30083</v>
      </c>
      <c r="L502">
        <v>33433</v>
      </c>
      <c r="M502" t="b">
        <f t="shared" si="28"/>
        <v>0</v>
      </c>
    </row>
    <row r="503" spans="1:14" x14ac:dyDescent="0.3">
      <c r="A503" s="14">
        <v>67989839</v>
      </c>
      <c r="B503" s="14" t="s">
        <v>1007</v>
      </c>
      <c r="C503" s="14" t="s">
        <v>1008</v>
      </c>
      <c r="D503" s="34">
        <v>19734</v>
      </c>
      <c r="L503">
        <v>19734</v>
      </c>
      <c r="M503" t="b">
        <f t="shared" si="28"/>
        <v>1</v>
      </c>
      <c r="N503" s="38"/>
    </row>
    <row r="504" spans="1:14" x14ac:dyDescent="0.3">
      <c r="A504" s="14">
        <v>67988468</v>
      </c>
      <c r="B504" s="14" t="s">
        <v>1009</v>
      </c>
      <c r="C504" s="14" t="s">
        <v>1010</v>
      </c>
      <c r="D504" s="34">
        <v>19734</v>
      </c>
      <c r="L504">
        <v>19734</v>
      </c>
      <c r="M504" t="b">
        <f t="shared" si="28"/>
        <v>1</v>
      </c>
      <c r="N504" s="38"/>
    </row>
    <row r="505" spans="1:14" x14ac:dyDescent="0.3">
      <c r="A505" s="14">
        <v>68466892</v>
      </c>
      <c r="B505" s="14" t="s">
        <v>1030</v>
      </c>
      <c r="C505" s="14" t="s">
        <v>1032</v>
      </c>
      <c r="D505" s="34">
        <v>15276</v>
      </c>
      <c r="L505">
        <v>18693</v>
      </c>
      <c r="M505" t="b">
        <f t="shared" si="28"/>
        <v>0</v>
      </c>
      <c r="N505" s="38"/>
    </row>
    <row r="506" spans="1:14" s="38" customFormat="1" x14ac:dyDescent="0.3">
      <c r="A506" s="31">
        <v>68462854</v>
      </c>
      <c r="B506" s="31" t="s">
        <v>1031</v>
      </c>
      <c r="C506" s="31" t="s">
        <v>1033</v>
      </c>
      <c r="D506" s="34">
        <v>40066</v>
      </c>
      <c r="L506" s="38">
        <v>46163</v>
      </c>
      <c r="M506" s="38" t="b">
        <f t="shared" si="28"/>
        <v>0</v>
      </c>
    </row>
    <row r="507" spans="1:14" x14ac:dyDescent="0.3">
      <c r="A507" s="14">
        <v>68677002</v>
      </c>
      <c r="B507" s="14" t="s">
        <v>1034</v>
      </c>
      <c r="C507" s="14" t="s">
        <v>1035</v>
      </c>
      <c r="D507" s="34">
        <v>20033</v>
      </c>
      <c r="L507">
        <v>20033</v>
      </c>
      <c r="M507" t="b">
        <f t="shared" si="28"/>
        <v>1</v>
      </c>
      <c r="N507" s="38"/>
    </row>
    <row r="508" spans="1:14" x14ac:dyDescent="0.3">
      <c r="A508" s="14">
        <v>68880617</v>
      </c>
      <c r="B508" s="14" t="s">
        <v>1037</v>
      </c>
      <c r="C508" s="14" t="s">
        <v>1040</v>
      </c>
      <c r="D508" s="37">
        <v>33433</v>
      </c>
      <c r="L508">
        <v>33433</v>
      </c>
      <c r="M508" t="b">
        <f t="shared" si="28"/>
        <v>1</v>
      </c>
    </row>
    <row r="509" spans="1:14" x14ac:dyDescent="0.3">
      <c r="A509" s="14">
        <v>68934411</v>
      </c>
      <c r="B509" s="14" t="s">
        <v>1038</v>
      </c>
      <c r="C509" s="14" t="s">
        <v>1041</v>
      </c>
      <c r="D509" s="37">
        <v>25393</v>
      </c>
      <c r="L509">
        <v>25393</v>
      </c>
      <c r="M509" t="b">
        <f t="shared" si="28"/>
        <v>1</v>
      </c>
    </row>
    <row r="510" spans="1:14" x14ac:dyDescent="0.3">
      <c r="A510" s="14">
        <v>68924611</v>
      </c>
      <c r="B510" s="14" t="s">
        <v>1039</v>
      </c>
      <c r="C510" s="14" t="s">
        <v>1042</v>
      </c>
      <c r="D510" s="37">
        <v>25393</v>
      </c>
      <c r="L510">
        <v>25393</v>
      </c>
      <c r="M510" t="b">
        <f t="shared" si="28"/>
        <v>1</v>
      </c>
    </row>
    <row r="511" spans="1:14" x14ac:dyDescent="0.3">
      <c r="A511" s="14">
        <v>68938743</v>
      </c>
      <c r="B511" s="14" t="s">
        <v>1043</v>
      </c>
      <c r="C511" s="14" t="s">
        <v>1044</v>
      </c>
      <c r="D511" s="37">
        <v>33433</v>
      </c>
      <c r="L511">
        <v>36783</v>
      </c>
      <c r="M511" t="b">
        <f t="shared" si="28"/>
        <v>0</v>
      </c>
    </row>
    <row r="512" spans="1:14" x14ac:dyDescent="0.3">
      <c r="A512" s="14">
        <v>69040158</v>
      </c>
      <c r="B512" s="14" t="s">
        <v>1045</v>
      </c>
      <c r="C512" s="14" t="s">
        <v>1048</v>
      </c>
      <c r="D512" s="37">
        <v>15276</v>
      </c>
    </row>
    <row r="513" spans="1:4" x14ac:dyDescent="0.3">
      <c r="A513" s="14">
        <v>69039437</v>
      </c>
      <c r="B513" s="14" t="s">
        <v>1046</v>
      </c>
      <c r="C513" s="14" t="s">
        <v>1049</v>
      </c>
      <c r="D513" s="37">
        <v>33433</v>
      </c>
    </row>
    <row r="514" spans="1:4" x14ac:dyDescent="0.3">
      <c r="A514" s="14">
        <v>69039778</v>
      </c>
      <c r="B514" s="14" t="s">
        <v>1047</v>
      </c>
      <c r="C514" s="14" t="s">
        <v>1050</v>
      </c>
      <c r="D514" s="37">
        <v>33433</v>
      </c>
    </row>
    <row r="515" spans="1:4" x14ac:dyDescent="0.3">
      <c r="A515" s="14">
        <v>69279032</v>
      </c>
      <c r="B515" s="14" t="s">
        <v>1051</v>
      </c>
      <c r="C515" s="14" t="s">
        <v>1057</v>
      </c>
      <c r="D515" s="37">
        <v>31296</v>
      </c>
    </row>
    <row r="516" spans="1:4" x14ac:dyDescent="0.3">
      <c r="A516" s="14">
        <v>69292187</v>
      </c>
      <c r="B516" s="14" t="s">
        <v>1052</v>
      </c>
      <c r="C516" s="14" t="s">
        <v>1058</v>
      </c>
      <c r="D516" s="37">
        <v>5963</v>
      </c>
    </row>
    <row r="517" spans="1:4" x14ac:dyDescent="0.3">
      <c r="A517" s="14">
        <v>69292186</v>
      </c>
      <c r="B517" s="14" t="s">
        <v>1053</v>
      </c>
      <c r="C517" s="14" t="s">
        <v>1059</v>
      </c>
      <c r="D517" s="37">
        <v>5963</v>
      </c>
    </row>
    <row r="518" spans="1:4" x14ac:dyDescent="0.3">
      <c r="A518" s="14">
        <v>69292185</v>
      </c>
      <c r="B518" s="14" t="s">
        <v>1054</v>
      </c>
      <c r="C518" s="14" t="s">
        <v>1060</v>
      </c>
      <c r="D518" s="37">
        <v>5963</v>
      </c>
    </row>
    <row r="519" spans="1:4" x14ac:dyDescent="0.3">
      <c r="A519" s="14">
        <v>69096297</v>
      </c>
      <c r="B519" s="14" t="s">
        <v>1055</v>
      </c>
      <c r="C519" s="14" t="s">
        <v>1061</v>
      </c>
      <c r="D519" s="37">
        <v>15946</v>
      </c>
    </row>
    <row r="520" spans="1:4" x14ac:dyDescent="0.3">
      <c r="A520" s="14">
        <v>69096296</v>
      </c>
      <c r="B520" s="14" t="s">
        <v>1056</v>
      </c>
      <c r="C520" s="14" t="s">
        <v>1062</v>
      </c>
      <c r="D520" s="37">
        <v>15946</v>
      </c>
    </row>
    <row r="521" spans="1:4" x14ac:dyDescent="0.3">
      <c r="A521" s="14">
        <v>69594684</v>
      </c>
      <c r="B521" s="14" t="s">
        <v>1063</v>
      </c>
      <c r="C521" s="14" t="s">
        <v>1064</v>
      </c>
      <c r="D521" s="37">
        <v>22043</v>
      </c>
    </row>
    <row r="522" spans="1:4" x14ac:dyDescent="0.3">
      <c r="A522" s="14">
        <v>69772629</v>
      </c>
      <c r="B522" s="14" t="s">
        <v>1065</v>
      </c>
      <c r="C522" s="14" t="s">
        <v>1071</v>
      </c>
      <c r="D522" s="37">
        <v>29413</v>
      </c>
    </row>
    <row r="523" spans="1:4" x14ac:dyDescent="0.3">
      <c r="A523" s="14">
        <v>69772627</v>
      </c>
      <c r="B523" s="14" t="s">
        <v>1066</v>
      </c>
      <c r="C523" s="14" t="s">
        <v>1072</v>
      </c>
      <c r="D523" s="37">
        <v>29413</v>
      </c>
    </row>
    <row r="524" spans="1:4" x14ac:dyDescent="0.3">
      <c r="A524" s="14">
        <v>69772625</v>
      </c>
      <c r="B524" s="14" t="s">
        <v>1067</v>
      </c>
      <c r="C524" s="14" t="s">
        <v>1073</v>
      </c>
      <c r="D524" s="37">
        <v>29413</v>
      </c>
    </row>
    <row r="525" spans="1:4" x14ac:dyDescent="0.3">
      <c r="A525" s="14">
        <v>69767288</v>
      </c>
      <c r="B525" s="14" t="s">
        <v>1068</v>
      </c>
      <c r="C525" s="14" t="s">
        <v>1074</v>
      </c>
      <c r="D525" s="37">
        <v>66330</v>
      </c>
    </row>
    <row r="526" spans="1:4" x14ac:dyDescent="0.3">
      <c r="A526" s="14">
        <v>69766464</v>
      </c>
      <c r="B526" s="14" t="s">
        <v>1069</v>
      </c>
      <c r="C526" s="14" t="s">
        <v>1075</v>
      </c>
      <c r="D526" s="37">
        <v>22043</v>
      </c>
    </row>
    <row r="527" spans="1:4" x14ac:dyDescent="0.3">
      <c r="A527" s="14">
        <v>69803799</v>
      </c>
      <c r="B527" s="14" t="s">
        <v>1070</v>
      </c>
      <c r="C527" s="14" t="s">
        <v>1076</v>
      </c>
      <c r="D527" s="37">
        <v>5782</v>
      </c>
    </row>
    <row r="528" spans="1:4" x14ac:dyDescent="0.3">
      <c r="A528" s="14">
        <v>69770093</v>
      </c>
      <c r="B528" s="14" t="s">
        <v>148</v>
      </c>
      <c r="C528" s="14" t="s">
        <v>485</v>
      </c>
      <c r="D528" s="37">
        <v>40066</v>
      </c>
    </row>
    <row r="529" spans="1:4" x14ac:dyDescent="0.3">
      <c r="A529" s="14">
        <v>70204974</v>
      </c>
      <c r="B529" s="14" t="s">
        <v>1079</v>
      </c>
      <c r="C529" s="14" t="s">
        <v>1083</v>
      </c>
      <c r="D529" s="37">
        <v>18693</v>
      </c>
    </row>
    <row r="530" spans="1:4" x14ac:dyDescent="0.3">
      <c r="A530" s="14">
        <v>70204975</v>
      </c>
      <c r="B530" s="14" t="s">
        <v>1080</v>
      </c>
      <c r="C530" s="14" t="s">
        <v>1084</v>
      </c>
      <c r="D530" s="37">
        <v>18693</v>
      </c>
    </row>
    <row r="531" spans="1:4" x14ac:dyDescent="0.3">
      <c r="A531" s="14">
        <v>70251147</v>
      </c>
      <c r="B531" s="14" t="s">
        <v>1081</v>
      </c>
      <c r="C531" s="14" t="s">
        <v>1085</v>
      </c>
      <c r="D531" s="37">
        <v>30083</v>
      </c>
    </row>
    <row r="532" spans="1:4" x14ac:dyDescent="0.3">
      <c r="A532" s="14">
        <v>70205079</v>
      </c>
      <c r="B532" s="14" t="s">
        <v>1082</v>
      </c>
      <c r="C532" s="14" t="s">
        <v>1086</v>
      </c>
      <c r="D532" s="37">
        <v>33433</v>
      </c>
    </row>
    <row r="533" spans="1:4" x14ac:dyDescent="0.3">
      <c r="A533" s="14">
        <v>70530577</v>
      </c>
      <c r="B533" s="14" t="s">
        <v>1087</v>
      </c>
      <c r="C533" s="14" t="s">
        <v>1089</v>
      </c>
      <c r="D533" s="37">
        <v>23283</v>
      </c>
    </row>
    <row r="534" spans="1:4" x14ac:dyDescent="0.3">
      <c r="A534" s="14">
        <v>70530576</v>
      </c>
      <c r="B534" s="14" t="s">
        <v>1088</v>
      </c>
      <c r="C534" s="14" t="s">
        <v>1090</v>
      </c>
      <c r="D534" s="37">
        <v>23283</v>
      </c>
    </row>
    <row r="535" spans="1:4" x14ac:dyDescent="0.3">
      <c r="A535" s="14">
        <v>71030052</v>
      </c>
      <c r="B535" s="14" t="s">
        <v>1091</v>
      </c>
      <c r="C535" s="14" t="s">
        <v>1094</v>
      </c>
      <c r="D535" s="37">
        <v>50853</v>
      </c>
    </row>
    <row r="536" spans="1:4" x14ac:dyDescent="0.3">
      <c r="A536" s="14">
        <v>70770186</v>
      </c>
      <c r="B536" s="14" t="s">
        <v>1092</v>
      </c>
      <c r="C536" s="14" t="s">
        <v>1093</v>
      </c>
      <c r="D536" s="37">
        <v>46230</v>
      </c>
    </row>
    <row r="537" spans="1:4" x14ac:dyDescent="0.3">
      <c r="A537" s="14">
        <v>71042279</v>
      </c>
      <c r="B537" s="14" t="s">
        <v>317</v>
      </c>
      <c r="C537" s="14" t="s">
        <v>638</v>
      </c>
      <c r="D537" s="37">
        <v>3283</v>
      </c>
    </row>
    <row r="538" spans="1:4" x14ac:dyDescent="0.3">
      <c r="A538" s="14">
        <v>71173111</v>
      </c>
      <c r="B538" s="14" t="s">
        <v>1095</v>
      </c>
      <c r="C538" s="14" t="s">
        <v>1097</v>
      </c>
      <c r="D538" s="37">
        <v>26666</v>
      </c>
    </row>
    <row r="539" spans="1:4" x14ac:dyDescent="0.3">
      <c r="A539" s="14">
        <v>71156871</v>
      </c>
      <c r="B539" s="14" t="s">
        <v>1096</v>
      </c>
      <c r="C539" s="14" t="s">
        <v>1098</v>
      </c>
      <c r="D539" s="37">
        <v>20033</v>
      </c>
    </row>
    <row r="540" spans="1:4" x14ac:dyDescent="0.3">
      <c r="A540" s="14">
        <v>71291488</v>
      </c>
      <c r="B540" s="14" t="s">
        <v>1101</v>
      </c>
      <c r="C540" s="14" t="s">
        <v>1105</v>
      </c>
      <c r="D540" s="37">
        <v>27531</v>
      </c>
    </row>
    <row r="541" spans="1:4" x14ac:dyDescent="0.3">
      <c r="A541" s="14">
        <v>71947627</v>
      </c>
      <c r="B541" s="14" t="s">
        <v>1102</v>
      </c>
      <c r="C541" s="14" t="s">
        <v>1106</v>
      </c>
      <c r="D541" s="37">
        <v>23383</v>
      </c>
    </row>
    <row r="542" spans="1:4" x14ac:dyDescent="0.3">
      <c r="A542" s="14">
        <v>72182444</v>
      </c>
      <c r="B542" s="14" t="s">
        <v>1103</v>
      </c>
      <c r="C542" s="14" t="s">
        <v>1107</v>
      </c>
      <c r="D542" s="37">
        <v>64990</v>
      </c>
    </row>
    <row r="543" spans="1:4" x14ac:dyDescent="0.3">
      <c r="A543" s="14">
        <v>72300747</v>
      </c>
      <c r="B543" s="14" t="s">
        <v>1109</v>
      </c>
      <c r="C543" s="14" t="s">
        <v>1111</v>
      </c>
      <c r="D543" s="37">
        <v>23383</v>
      </c>
    </row>
    <row r="544" spans="1:4" x14ac:dyDescent="0.3">
      <c r="A544" s="14">
        <v>72417582</v>
      </c>
      <c r="B544" s="14" t="s">
        <v>1110</v>
      </c>
      <c r="C544" s="14" t="s">
        <v>1112</v>
      </c>
      <c r="D544" s="37">
        <v>200330</v>
      </c>
    </row>
    <row r="545" spans="1:4" x14ac:dyDescent="0.3">
      <c r="A545" s="14">
        <v>72614935</v>
      </c>
      <c r="B545" s="14" t="s">
        <v>1113</v>
      </c>
      <c r="C545" s="14" t="s">
        <v>1117</v>
      </c>
      <c r="D545" s="37">
        <v>16683</v>
      </c>
    </row>
    <row r="546" spans="1:4" x14ac:dyDescent="0.3">
      <c r="A546" s="14">
        <v>72614936</v>
      </c>
      <c r="B546" s="14" t="s">
        <v>1114</v>
      </c>
      <c r="C546" s="14" t="s">
        <v>1118</v>
      </c>
      <c r="D546" s="37">
        <v>16683</v>
      </c>
    </row>
    <row r="547" spans="1:4" x14ac:dyDescent="0.3">
      <c r="A547" s="14">
        <v>72614937</v>
      </c>
      <c r="B547" s="14" t="s">
        <v>1115</v>
      </c>
      <c r="C547" s="14" t="s">
        <v>1119</v>
      </c>
      <c r="D547" s="37">
        <v>16683</v>
      </c>
    </row>
    <row r="548" spans="1:4" x14ac:dyDescent="0.3">
      <c r="A548" s="14">
        <v>72683872</v>
      </c>
      <c r="B548" s="14" t="s">
        <v>1116</v>
      </c>
      <c r="C548" s="14" t="s">
        <v>1120</v>
      </c>
      <c r="D548" s="37">
        <v>99160</v>
      </c>
    </row>
    <row r="549" spans="1:4" x14ac:dyDescent="0.3">
      <c r="A549" s="14">
        <v>72699936</v>
      </c>
      <c r="B549" s="14" t="s">
        <v>1121</v>
      </c>
      <c r="C549" s="14" t="s">
        <v>1127</v>
      </c>
      <c r="D549" s="37">
        <v>19363</v>
      </c>
    </row>
    <row r="550" spans="1:4" x14ac:dyDescent="0.3">
      <c r="A550" s="14">
        <v>72699935</v>
      </c>
      <c r="B550" s="14" t="s">
        <v>1122</v>
      </c>
      <c r="C550" s="14" t="s">
        <v>1128</v>
      </c>
      <c r="D550" s="37">
        <v>19363</v>
      </c>
    </row>
    <row r="551" spans="1:4" x14ac:dyDescent="0.3">
      <c r="A551" s="14">
        <v>72828733</v>
      </c>
      <c r="B551" s="14" t="s">
        <v>1123</v>
      </c>
      <c r="C551" s="14" t="s">
        <v>1129</v>
      </c>
      <c r="D551" s="37">
        <v>20033</v>
      </c>
    </row>
    <row r="552" spans="1:4" x14ac:dyDescent="0.3">
      <c r="A552" s="14">
        <v>72828734</v>
      </c>
      <c r="B552" s="14" t="s">
        <v>1124</v>
      </c>
      <c r="C552" s="14" t="s">
        <v>1130</v>
      </c>
      <c r="D552" s="37">
        <v>20033</v>
      </c>
    </row>
    <row r="553" spans="1:4" x14ac:dyDescent="0.3">
      <c r="A553" s="14">
        <v>72910681</v>
      </c>
      <c r="B553" s="14" t="s">
        <v>1125</v>
      </c>
      <c r="C553" s="14" t="s">
        <v>1131</v>
      </c>
      <c r="D553" s="37">
        <v>30016</v>
      </c>
    </row>
    <row r="554" spans="1:4" x14ac:dyDescent="0.3">
      <c r="A554" s="14">
        <v>72910683</v>
      </c>
      <c r="B554" s="14" t="s">
        <v>1126</v>
      </c>
      <c r="C554" s="14" t="s">
        <v>1132</v>
      </c>
      <c r="D554" s="37">
        <v>30016</v>
      </c>
    </row>
    <row r="555" spans="1:4" x14ac:dyDescent="0.3">
      <c r="A555" s="14">
        <v>73226633</v>
      </c>
      <c r="B555" s="14" t="s">
        <v>1133</v>
      </c>
      <c r="C555" s="14" t="s">
        <v>1135</v>
      </c>
      <c r="D555" s="37">
        <v>30083</v>
      </c>
    </row>
    <row r="556" spans="1:4" x14ac:dyDescent="0.3">
      <c r="A556" s="14">
        <v>73226632</v>
      </c>
      <c r="B556" s="14" t="s">
        <v>1134</v>
      </c>
      <c r="C556" s="14" t="s">
        <v>1136</v>
      </c>
      <c r="D556" s="37">
        <v>30083</v>
      </c>
    </row>
    <row r="557" spans="1:4" x14ac:dyDescent="0.3">
      <c r="A557" s="14">
        <v>73316683</v>
      </c>
      <c r="B557" s="14" t="s">
        <v>1137</v>
      </c>
      <c r="C557" s="14" t="s">
        <v>1140</v>
      </c>
      <c r="D557" s="37">
        <v>23359</v>
      </c>
    </row>
    <row r="558" spans="1:4" x14ac:dyDescent="0.3">
      <c r="A558" s="14">
        <v>73316684</v>
      </c>
      <c r="B558" s="14" t="s">
        <v>1138</v>
      </c>
      <c r="C558" s="14" t="s">
        <v>1141</v>
      </c>
      <c r="D558" s="37">
        <v>23359</v>
      </c>
    </row>
    <row r="559" spans="1:4" x14ac:dyDescent="0.3">
      <c r="A559" s="14">
        <v>73316685</v>
      </c>
      <c r="B559" s="14" t="s">
        <v>1139</v>
      </c>
      <c r="C559" s="14" t="s">
        <v>1142</v>
      </c>
      <c r="D559" s="37">
        <v>23359</v>
      </c>
    </row>
    <row r="560" spans="1:4" x14ac:dyDescent="0.3">
      <c r="A560" s="14">
        <v>73523448</v>
      </c>
      <c r="B560" s="14" t="s">
        <v>1143</v>
      </c>
      <c r="C560" s="14" t="s">
        <v>1145</v>
      </c>
      <c r="D560" s="37">
        <v>32093</v>
      </c>
    </row>
    <row r="561" spans="1:4" x14ac:dyDescent="0.3">
      <c r="A561" s="14">
        <v>73461995</v>
      </c>
      <c r="B561" s="14" t="s">
        <v>1144</v>
      </c>
      <c r="C561" s="14" t="s">
        <v>1146</v>
      </c>
      <c r="D561" s="37">
        <v>20033</v>
      </c>
    </row>
    <row r="562" spans="1:4" x14ac:dyDescent="0.3">
      <c r="A562" s="14">
        <v>73956460</v>
      </c>
      <c r="B562" s="14" t="s">
        <v>1149</v>
      </c>
      <c r="C562" s="14" t="s">
        <v>1155</v>
      </c>
      <c r="D562" s="37">
        <v>6072</v>
      </c>
    </row>
    <row r="563" spans="1:4" x14ac:dyDescent="0.3">
      <c r="A563" s="14">
        <v>73956461</v>
      </c>
      <c r="B563" s="14" t="s">
        <v>1150</v>
      </c>
      <c r="C563" s="14" t="s">
        <v>1156</v>
      </c>
      <c r="D563" s="37">
        <v>6072</v>
      </c>
    </row>
    <row r="564" spans="1:4" x14ac:dyDescent="0.3">
      <c r="A564" s="14">
        <v>73956459</v>
      </c>
      <c r="B564" s="14" t="s">
        <v>1151</v>
      </c>
      <c r="C564" s="14" t="s">
        <v>1157</v>
      </c>
      <c r="D564" s="37">
        <v>6072</v>
      </c>
    </row>
    <row r="565" spans="1:4" x14ac:dyDescent="0.3">
      <c r="A565" s="14">
        <v>73975553</v>
      </c>
      <c r="B565" s="14" t="s">
        <v>1152</v>
      </c>
      <c r="C565" s="14" t="s">
        <v>1158</v>
      </c>
      <c r="D565" s="37">
        <v>10212</v>
      </c>
    </row>
    <row r="566" spans="1:4" x14ac:dyDescent="0.3">
      <c r="A566" s="14">
        <v>73952843</v>
      </c>
      <c r="B566" s="14" t="s">
        <v>1153</v>
      </c>
      <c r="C566" s="14" t="s">
        <v>1159</v>
      </c>
      <c r="D566" s="37">
        <v>10212</v>
      </c>
    </row>
    <row r="567" spans="1:4" x14ac:dyDescent="0.3">
      <c r="A567" s="14">
        <v>73893263</v>
      </c>
      <c r="B567" s="14" t="s">
        <v>1154</v>
      </c>
      <c r="C567" s="14" t="s">
        <v>1160</v>
      </c>
      <c r="D567" s="37">
        <v>34362</v>
      </c>
    </row>
    <row r="568" spans="1:4" x14ac:dyDescent="0.3">
      <c r="A568" s="14">
        <v>74550323</v>
      </c>
      <c r="B568" s="14" t="s">
        <v>1165</v>
      </c>
      <c r="C568" s="14" t="s">
        <v>1166</v>
      </c>
      <c r="D568" s="37">
        <v>119930</v>
      </c>
    </row>
    <row r="569" spans="1:4" x14ac:dyDescent="0.3">
      <c r="A569" s="14">
        <v>74685916</v>
      </c>
      <c r="B569" s="14" t="s">
        <v>1167</v>
      </c>
      <c r="C569" s="14" t="s">
        <v>1168</v>
      </c>
      <c r="D569" s="37">
        <v>33433</v>
      </c>
    </row>
  </sheetData>
  <autoFilter ref="A1:N510" xr:uid="{A2C114CA-96B7-4AF6-8781-0768681284AD}"/>
  <phoneticPr fontId="2" type="noConversion"/>
  <conditionalFormatting sqref="A378:A410 A412:A1048576 A1:A372">
    <cfRule type="duplicateValues" dxfId="16" priority="19"/>
  </conditionalFormatting>
  <conditionalFormatting sqref="F45:F49">
    <cfRule type="duplicateValues" dxfId="15" priority="16"/>
  </conditionalFormatting>
  <conditionalFormatting sqref="F51">
    <cfRule type="duplicateValues" dxfId="14" priority="14"/>
  </conditionalFormatting>
  <conditionalFormatting sqref="F51">
    <cfRule type="duplicateValues" dxfId="13" priority="13"/>
  </conditionalFormatting>
  <conditionalFormatting sqref="F52">
    <cfRule type="duplicateValues" dxfId="12" priority="12"/>
  </conditionalFormatting>
  <conditionalFormatting sqref="F52">
    <cfRule type="duplicateValues" dxfId="11" priority="11"/>
  </conditionalFormatting>
  <conditionalFormatting sqref="F52">
    <cfRule type="duplicateValues" dxfId="10" priority="10"/>
  </conditionalFormatting>
  <conditionalFormatting sqref="A1:A1048576">
    <cfRule type="duplicateValues" dxfId="9" priority="1"/>
    <cfRule type="duplicateValues" dxfId="8" priority="8"/>
  </conditionalFormatting>
  <conditionalFormatting sqref="A378:B379 A382:B410 A380:A381 A412:B1048576 A1:B122 A124:B176 A123 A178:B372 A177">
    <cfRule type="duplicateValues" dxfId="7" priority="20"/>
  </conditionalFormatting>
  <conditionalFormatting sqref="A382:B410 A380:A381 A1:B122 A412:B1048576 A124:B176 A123 A178:B379 A177">
    <cfRule type="duplicateValues" dxfId="6" priority="27"/>
  </conditionalFormatting>
  <conditionalFormatting sqref="C468:C1048576 C114:C389 C1:C112">
    <cfRule type="duplicateValues" dxfId="5" priority="29"/>
  </conditionalFormatting>
  <conditionalFormatting sqref="F51">
    <cfRule type="duplicateValues" dxfId="4" priority="33"/>
  </conditionalFormatting>
  <conditionalFormatting sqref="M1:M1048576">
    <cfRule type="containsText" dxfId="3" priority="5" operator="containsText" text="false">
      <formula>NOT(ISERROR(SEARCH("false",M1)))</formula>
    </cfRule>
  </conditionalFormatting>
  <conditionalFormatting sqref="B178:B1048576 B1:B122 B124:B176">
    <cfRule type="duplicateValues" dxfId="2" priority="4"/>
  </conditionalFormatting>
  <conditionalFormatting sqref="A177 A1:C122 A124:C176 A123 C123 C177 A178:C1048576">
    <cfRule type="duplicateValues" dxfId="1" priority="3"/>
  </conditionalFormatting>
  <conditionalFormatting sqref="F2:F9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발주양식</vt:lpstr>
      <vt:lpstr>sku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OA</cp:lastModifiedBy>
  <dcterms:created xsi:type="dcterms:W3CDTF">2025-03-14T02:28:58Z</dcterms:created>
  <dcterms:modified xsi:type="dcterms:W3CDTF">2026-06-04T09:36:50Z</dcterms:modified>
</cp:coreProperties>
</file>